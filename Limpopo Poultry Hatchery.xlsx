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OLELE NGATE\Desktop\Github Project Material\Poultry Production\"/>
    </mc:Choice>
  </mc:AlternateContent>
  <xr:revisionPtr revIDLastSave="0" documentId="13_ncr:1_{E48E296A-A386-4067-86B5-FDA2F10E287C}" xr6:coauthVersionLast="47" xr6:coauthVersionMax="47" xr10:uidLastSave="{00000000-0000-0000-0000-000000000000}"/>
  <bookViews>
    <workbookView xWindow="20370" yWindow="-120" windowWidth="29040" windowHeight="15720" firstSheet="1" activeTab="3" xr2:uid="{C40E0865-0197-40FF-892A-FEBA233B0BC9}"/>
  </bookViews>
  <sheets>
    <sheet name="Limpopo_poultryhatchery_messy" sheetId="2" r:id="rId1"/>
    <sheet name="Data_Quality_Report" sheetId="4" r:id="rId2"/>
    <sheet name="Limpopo_poultryhatchery_clean" sheetId="1" r:id="rId3"/>
    <sheet name="Data Dictionary" sheetId="8" r:id="rId4"/>
    <sheet name="Pivot Tables" sheetId="5" r:id="rId5"/>
    <sheet name="Dashboard" sheetId="6" r:id="rId6"/>
    <sheet name="Analysis" sheetId="7" r:id="rId7"/>
  </sheets>
  <externalReferences>
    <externalReference r:id="rId8"/>
  </externalReferences>
  <definedNames>
    <definedName name="ExternalData_1" localSheetId="2" hidden="1">Limpopo_poultryhatchery_clean!$A$1:$AC$119</definedName>
    <definedName name="ExternalData_1" localSheetId="0" hidden="1">Limpopo_poultryhatchery_messy!$A$1:$W$128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3" i="1" l="1"/>
  <c r="L3" i="1"/>
  <c r="L4" i="1"/>
  <c r="L5" i="1"/>
  <c r="L6" i="1"/>
  <c r="L7" i="1"/>
  <c r="L8" i="1"/>
  <c r="L9" i="1"/>
  <c r="L10" i="1"/>
  <c r="L11" i="1"/>
  <c r="L12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2" i="1"/>
  <c r="C109" i="5"/>
  <c r="C108" i="5"/>
  <c r="C113" i="5"/>
  <c r="C100" i="5"/>
  <c r="C99" i="5"/>
  <c r="C98" i="5"/>
  <c r="C97" i="5"/>
  <c r="C96" i="5"/>
  <c r="C95" i="5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E11" i="7"/>
  <c r="E10" i="7"/>
  <c r="N2" i="1"/>
  <c r="Z2" i="1" s="1"/>
  <c r="AA2" i="1" s="1"/>
  <c r="R2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6" i="1"/>
  <c r="R25" i="1"/>
  <c r="R24" i="1"/>
  <c r="R23" i="1"/>
  <c r="R22" i="1"/>
  <c r="R21" i="1"/>
  <c r="R20" i="1"/>
  <c r="R19" i="1"/>
  <c r="R18" i="1"/>
  <c r="R17" i="1"/>
  <c r="R16" i="1"/>
  <c r="R14" i="1"/>
  <c r="R13" i="1"/>
  <c r="R12" i="1"/>
  <c r="R11" i="1"/>
  <c r="R10" i="1"/>
  <c r="R9" i="1"/>
  <c r="R8" i="1"/>
  <c r="R7" i="1"/>
  <c r="R6" i="1"/>
  <c r="R5" i="1"/>
  <c r="R4" i="1"/>
  <c r="R3" i="1"/>
  <c r="R15" i="1"/>
  <c r="R27" i="1"/>
  <c r="R84" i="1"/>
  <c r="B2" i="1"/>
  <c r="C2" i="1" s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N3" i="1"/>
  <c r="Z3" i="1" s="1"/>
  <c r="AA3" i="1" s="1"/>
  <c r="N4" i="1"/>
  <c r="Z4" i="1" s="1"/>
  <c r="AA4" i="1" s="1"/>
  <c r="N5" i="1"/>
  <c r="Z5" i="1" s="1"/>
  <c r="AA5" i="1" s="1"/>
  <c r="N6" i="1"/>
  <c r="Z6" i="1" s="1"/>
  <c r="AA6" i="1" s="1"/>
  <c r="N7" i="1"/>
  <c r="Z7" i="1" s="1"/>
  <c r="AA7" i="1" s="1"/>
  <c r="N8" i="1"/>
  <c r="Z8" i="1" s="1"/>
  <c r="AA8" i="1" s="1"/>
  <c r="N9" i="1"/>
  <c r="Z9" i="1" s="1"/>
  <c r="AA9" i="1" s="1"/>
  <c r="N10" i="1"/>
  <c r="Z10" i="1" s="1"/>
  <c r="AA10" i="1" s="1"/>
  <c r="N11" i="1"/>
  <c r="Z11" i="1" s="1"/>
  <c r="AA11" i="1" s="1"/>
  <c r="N12" i="1"/>
  <c r="Z12" i="1" s="1"/>
  <c r="AA12" i="1" s="1"/>
  <c r="N13" i="1"/>
  <c r="Z13" i="1" s="1"/>
  <c r="AA13" i="1" s="1"/>
  <c r="N14" i="1"/>
  <c r="Z14" i="1" s="1"/>
  <c r="AA14" i="1" s="1"/>
  <c r="N16" i="1"/>
  <c r="Z16" i="1" s="1"/>
  <c r="AA16" i="1" s="1"/>
  <c r="N17" i="1"/>
  <c r="Z17" i="1" s="1"/>
  <c r="AA17" i="1" s="1"/>
  <c r="N18" i="1"/>
  <c r="Z18" i="1" s="1"/>
  <c r="AA18" i="1" s="1"/>
  <c r="N19" i="1"/>
  <c r="Z19" i="1" s="1"/>
  <c r="AA19" i="1" s="1"/>
  <c r="N20" i="1"/>
  <c r="Z20" i="1" s="1"/>
  <c r="AA20" i="1" s="1"/>
  <c r="N21" i="1"/>
  <c r="Z21" i="1" s="1"/>
  <c r="AA21" i="1" s="1"/>
  <c r="N22" i="1"/>
  <c r="Z22" i="1" s="1"/>
  <c r="AA22" i="1" s="1"/>
  <c r="N23" i="1"/>
  <c r="Z23" i="1" s="1"/>
  <c r="AA23" i="1" s="1"/>
  <c r="N24" i="1"/>
  <c r="Z24" i="1" s="1"/>
  <c r="AA24" i="1" s="1"/>
  <c r="N25" i="1"/>
  <c r="Z25" i="1" s="1"/>
  <c r="AA25" i="1" s="1"/>
  <c r="N26" i="1"/>
  <c r="Z26" i="1" s="1"/>
  <c r="AA26" i="1" s="1"/>
  <c r="N28" i="1"/>
  <c r="Z28" i="1" s="1"/>
  <c r="AA28" i="1" s="1"/>
  <c r="N29" i="1"/>
  <c r="Z29" i="1" s="1"/>
  <c r="AA29" i="1" s="1"/>
  <c r="N30" i="1"/>
  <c r="Z30" i="1" s="1"/>
  <c r="AA30" i="1" s="1"/>
  <c r="N31" i="1"/>
  <c r="Z31" i="1" s="1"/>
  <c r="AA31" i="1" s="1"/>
  <c r="N32" i="1"/>
  <c r="Z32" i="1" s="1"/>
  <c r="AA32" i="1" s="1"/>
  <c r="N33" i="1"/>
  <c r="Z33" i="1" s="1"/>
  <c r="AA33" i="1" s="1"/>
  <c r="N34" i="1"/>
  <c r="Z34" i="1" s="1"/>
  <c r="AA34" i="1" s="1"/>
  <c r="N35" i="1"/>
  <c r="Z35" i="1" s="1"/>
  <c r="AA35" i="1" s="1"/>
  <c r="N36" i="1"/>
  <c r="Z36" i="1" s="1"/>
  <c r="AA36" i="1" s="1"/>
  <c r="N37" i="1"/>
  <c r="Z37" i="1" s="1"/>
  <c r="AA37" i="1" s="1"/>
  <c r="N38" i="1"/>
  <c r="Z38" i="1" s="1"/>
  <c r="AA38" i="1" s="1"/>
  <c r="N39" i="1"/>
  <c r="Z39" i="1" s="1"/>
  <c r="AA39" i="1" s="1"/>
  <c r="N40" i="1"/>
  <c r="Z40" i="1" s="1"/>
  <c r="AA40" i="1" s="1"/>
  <c r="N41" i="1"/>
  <c r="Z41" i="1" s="1"/>
  <c r="AA41" i="1" s="1"/>
  <c r="N42" i="1"/>
  <c r="Z42" i="1" s="1"/>
  <c r="AA42" i="1" s="1"/>
  <c r="N43" i="1"/>
  <c r="Z43" i="1" s="1"/>
  <c r="AA43" i="1" s="1"/>
  <c r="N44" i="1"/>
  <c r="Z44" i="1" s="1"/>
  <c r="AA44" i="1" s="1"/>
  <c r="N45" i="1"/>
  <c r="Z45" i="1" s="1"/>
  <c r="AA45" i="1" s="1"/>
  <c r="N46" i="1"/>
  <c r="Z46" i="1" s="1"/>
  <c r="AA46" i="1" s="1"/>
  <c r="N47" i="1"/>
  <c r="Z47" i="1" s="1"/>
  <c r="AA47" i="1" s="1"/>
  <c r="N48" i="1"/>
  <c r="Z48" i="1" s="1"/>
  <c r="AA48" i="1" s="1"/>
  <c r="N49" i="1"/>
  <c r="Z49" i="1" s="1"/>
  <c r="AA49" i="1" s="1"/>
  <c r="N50" i="1"/>
  <c r="Z50" i="1" s="1"/>
  <c r="AA50" i="1" s="1"/>
  <c r="N51" i="1"/>
  <c r="Z51" i="1" s="1"/>
  <c r="AA51" i="1" s="1"/>
  <c r="N52" i="1"/>
  <c r="Z52" i="1" s="1"/>
  <c r="AA52" i="1" s="1"/>
  <c r="N53" i="1"/>
  <c r="Z53" i="1" s="1"/>
  <c r="AA53" i="1" s="1"/>
  <c r="N54" i="1"/>
  <c r="Z54" i="1" s="1"/>
  <c r="AA54" i="1" s="1"/>
  <c r="N55" i="1"/>
  <c r="Z55" i="1" s="1"/>
  <c r="AA55" i="1" s="1"/>
  <c r="N56" i="1"/>
  <c r="Z56" i="1" s="1"/>
  <c r="AA56" i="1" s="1"/>
  <c r="N57" i="1"/>
  <c r="Z57" i="1" s="1"/>
  <c r="AA57" i="1" s="1"/>
  <c r="N58" i="1"/>
  <c r="Z58" i="1" s="1"/>
  <c r="AA58" i="1" s="1"/>
  <c r="N60" i="1"/>
  <c r="Z60" i="1" s="1"/>
  <c r="AA60" i="1" s="1"/>
  <c r="N61" i="1"/>
  <c r="Z61" i="1" s="1"/>
  <c r="AA61" i="1" s="1"/>
  <c r="N62" i="1"/>
  <c r="Z62" i="1" s="1"/>
  <c r="AA62" i="1" s="1"/>
  <c r="N63" i="1"/>
  <c r="Z63" i="1" s="1"/>
  <c r="AA63" i="1" s="1"/>
  <c r="N64" i="1"/>
  <c r="Z64" i="1" s="1"/>
  <c r="AA64" i="1" s="1"/>
  <c r="N65" i="1"/>
  <c r="Z65" i="1" s="1"/>
  <c r="AA65" i="1" s="1"/>
  <c r="N66" i="1"/>
  <c r="Z66" i="1" s="1"/>
  <c r="AA66" i="1" s="1"/>
  <c r="N67" i="1"/>
  <c r="Z67" i="1" s="1"/>
  <c r="AA67" i="1" s="1"/>
  <c r="N68" i="1"/>
  <c r="Z68" i="1" s="1"/>
  <c r="AA68" i="1" s="1"/>
  <c r="N69" i="1"/>
  <c r="Z69" i="1" s="1"/>
  <c r="AA69" i="1" s="1"/>
  <c r="N70" i="1"/>
  <c r="Z70" i="1" s="1"/>
  <c r="AA70" i="1" s="1"/>
  <c r="N71" i="1"/>
  <c r="Z71" i="1" s="1"/>
  <c r="AA71" i="1" s="1"/>
  <c r="N72" i="1"/>
  <c r="Z72" i="1" s="1"/>
  <c r="AA72" i="1" s="1"/>
  <c r="N73" i="1"/>
  <c r="Z73" i="1" s="1"/>
  <c r="AA73" i="1" s="1"/>
  <c r="N74" i="1"/>
  <c r="Z74" i="1" s="1"/>
  <c r="AA74" i="1" s="1"/>
  <c r="N75" i="1"/>
  <c r="Z75" i="1" s="1"/>
  <c r="AA75" i="1" s="1"/>
  <c r="N76" i="1"/>
  <c r="Z76" i="1" s="1"/>
  <c r="AA76" i="1" s="1"/>
  <c r="N77" i="1"/>
  <c r="Z77" i="1" s="1"/>
  <c r="AA77" i="1" s="1"/>
  <c r="N78" i="1"/>
  <c r="Z78" i="1" s="1"/>
  <c r="AA78" i="1" s="1"/>
  <c r="N79" i="1"/>
  <c r="Z79" i="1" s="1"/>
  <c r="AA79" i="1" s="1"/>
  <c r="N80" i="1"/>
  <c r="Z80" i="1" s="1"/>
  <c r="AA80" i="1" s="1"/>
  <c r="N81" i="1"/>
  <c r="Z81" i="1" s="1"/>
  <c r="AA81" i="1" s="1"/>
  <c r="N82" i="1"/>
  <c r="Z82" i="1" s="1"/>
  <c r="AA82" i="1" s="1"/>
  <c r="N83" i="1"/>
  <c r="Z83" i="1" s="1"/>
  <c r="AA83" i="1" s="1"/>
  <c r="N85" i="1"/>
  <c r="Z85" i="1" s="1"/>
  <c r="AA85" i="1" s="1"/>
  <c r="N86" i="1"/>
  <c r="Z86" i="1" s="1"/>
  <c r="AA86" i="1" s="1"/>
  <c r="N87" i="1"/>
  <c r="Z87" i="1" s="1"/>
  <c r="AA87" i="1" s="1"/>
  <c r="N88" i="1"/>
  <c r="Z88" i="1" s="1"/>
  <c r="AA88" i="1" s="1"/>
  <c r="N89" i="1"/>
  <c r="Z89" i="1" s="1"/>
  <c r="AA89" i="1" s="1"/>
  <c r="N90" i="1"/>
  <c r="Z90" i="1" s="1"/>
  <c r="AA90" i="1" s="1"/>
  <c r="N91" i="1"/>
  <c r="Z91" i="1" s="1"/>
  <c r="AA91" i="1" s="1"/>
  <c r="N92" i="1"/>
  <c r="Z92" i="1" s="1"/>
  <c r="AA92" i="1" s="1"/>
  <c r="N93" i="1"/>
  <c r="Z93" i="1" s="1"/>
  <c r="AA93" i="1" s="1"/>
  <c r="N94" i="1"/>
  <c r="Z94" i="1" s="1"/>
  <c r="AA94" i="1" s="1"/>
  <c r="N95" i="1"/>
  <c r="Z95" i="1" s="1"/>
  <c r="AA95" i="1" s="1"/>
  <c r="N96" i="1"/>
  <c r="Z96" i="1" s="1"/>
  <c r="AA96" i="1" s="1"/>
  <c r="N97" i="1"/>
  <c r="Z97" i="1" s="1"/>
  <c r="AA97" i="1" s="1"/>
  <c r="N98" i="1"/>
  <c r="Z98" i="1" s="1"/>
  <c r="AA98" i="1" s="1"/>
  <c r="N99" i="1"/>
  <c r="Z99" i="1" s="1"/>
  <c r="AA99" i="1" s="1"/>
  <c r="N100" i="1"/>
  <c r="Z100" i="1" s="1"/>
  <c r="AA100" i="1" s="1"/>
  <c r="N101" i="1"/>
  <c r="Z101" i="1" s="1"/>
  <c r="AA101" i="1" s="1"/>
  <c r="N102" i="1"/>
  <c r="Z102" i="1" s="1"/>
  <c r="AA102" i="1" s="1"/>
  <c r="N103" i="1"/>
  <c r="Z103" i="1" s="1"/>
  <c r="AA103" i="1" s="1"/>
  <c r="N104" i="1"/>
  <c r="Z104" i="1" s="1"/>
  <c r="AA104" i="1" s="1"/>
  <c r="N105" i="1"/>
  <c r="Z105" i="1" s="1"/>
  <c r="AA105" i="1" s="1"/>
  <c r="N106" i="1"/>
  <c r="Z106" i="1" s="1"/>
  <c r="AA106" i="1" s="1"/>
  <c r="N107" i="1"/>
  <c r="Z107" i="1" s="1"/>
  <c r="AA107" i="1" s="1"/>
  <c r="N108" i="1"/>
  <c r="Z108" i="1" s="1"/>
  <c r="AA108" i="1" s="1"/>
  <c r="N109" i="1"/>
  <c r="Z109" i="1" s="1"/>
  <c r="AA109" i="1" s="1"/>
  <c r="N110" i="1"/>
  <c r="Z110" i="1" s="1"/>
  <c r="AA110" i="1" s="1"/>
  <c r="N111" i="1"/>
  <c r="Z111" i="1" s="1"/>
  <c r="AA111" i="1" s="1"/>
  <c r="N112" i="1"/>
  <c r="Z112" i="1" s="1"/>
  <c r="AA112" i="1" s="1"/>
  <c r="N113" i="1"/>
  <c r="Z113" i="1" s="1"/>
  <c r="AA113" i="1" s="1"/>
  <c r="N114" i="1"/>
  <c r="Z114" i="1" s="1"/>
  <c r="AA114" i="1" s="1"/>
  <c r="N115" i="1"/>
  <c r="Z115" i="1" s="1"/>
  <c r="AA115" i="1" s="1"/>
  <c r="N116" i="1"/>
  <c r="Z116" i="1" s="1"/>
  <c r="AA116" i="1" s="1"/>
  <c r="N117" i="1"/>
  <c r="Z117" i="1" s="1"/>
  <c r="AA117" i="1" s="1"/>
  <c r="N118" i="1"/>
  <c r="Z118" i="1" s="1"/>
  <c r="AA118" i="1" s="1"/>
  <c r="N119" i="1"/>
  <c r="Z119" i="1" s="1"/>
  <c r="AA119" i="1" s="1"/>
  <c r="K59" i="1"/>
  <c r="N59" i="1" s="1"/>
  <c r="Z59" i="1" s="1"/>
  <c r="AA59" i="1" s="1"/>
  <c r="N15" i="1"/>
  <c r="Z15" i="1" s="1"/>
  <c r="AA15" i="1" s="1"/>
  <c r="N27" i="1"/>
  <c r="Z27" i="1" s="1"/>
  <c r="AA27" i="1" s="1"/>
  <c r="N84" i="1"/>
  <c r="Z84" i="1" s="1"/>
  <c r="AA8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B95014-09A8-4B00-855B-FA39BBDE35A5}" keepAlive="1" name="Query - Limpopo_poultry_hatchery_production_RAW" description="Connection to the 'Limpopo_poultry_hatchery_production_RAW' query in the workbook." type="5" refreshedVersion="8" background="1" saveData="1">
    <dbPr connection="Provider=Microsoft.Mashup.OleDb.1;Data Source=$Workbook$;Location=Limpopo_poultry_hatchery_production_RAW;Extended Properties=&quot;&quot;" command="SELECT * FROM [Limpopo_poultry_hatchery_production_RAW]"/>
  </connection>
  <connection id="2" xr16:uid="{B4FC4817-D3FE-4168-8F7F-CBE34AD0401D}" keepAlive="1" name="Query - Limpopo_poultry_hatchery_production_RAW (2)" description="Connection to the 'Limpopo_poultry_hatchery_production_RAW (2)' query in the workbook." type="5" refreshedVersion="8" background="1" saveData="1">
    <dbPr connection="Provider=Microsoft.Mashup.OleDb.1;Data Source=$Workbook$;Location=&quot;Limpopo_poultry_hatchery_production_RAW (2)&quot;;Extended Properties=&quot;&quot;" command="SELECT * FROM [Limpopo_poultry_hatchery_production_RAW (2)]"/>
  </connection>
</connections>
</file>

<file path=xl/sharedStrings.xml><?xml version="1.0" encoding="utf-8"?>
<sst xmlns="http://schemas.openxmlformats.org/spreadsheetml/2006/main" count="3748" uniqueCount="392">
  <si>
    <t>Week_Ending</t>
  </si>
  <si>
    <t>Farm_Name</t>
  </si>
  <si>
    <t>Farm_Type</t>
  </si>
  <si>
    <t>District</t>
  </si>
  <si>
    <t>Municipality</t>
  </si>
  <si>
    <t>Flock_ID</t>
  </si>
  <si>
    <t>Breed</t>
  </si>
  <si>
    <t>Eggs_Set</t>
  </si>
  <si>
    <t>Eggs_Fertile</t>
  </si>
  <si>
    <t>Fertility_Rate_Pct</t>
  </si>
  <si>
    <t>Eggs_Hatched</t>
  </si>
  <si>
    <t>Hatchability_Pct</t>
  </si>
  <si>
    <t>Chicks_Graded_1st</t>
  </si>
  <si>
    <t>Chicks_Graded_2nd</t>
  </si>
  <si>
    <t>Chicks_Culled</t>
  </si>
  <si>
    <t>Feed_Consumed_kg</t>
  </si>
  <si>
    <t>Water_Consumed_L</t>
  </si>
  <si>
    <t>Avg_Incubation_Temp_C</t>
  </si>
  <si>
    <t>Avg_Humidity_Pct</t>
  </si>
  <si>
    <t>Mortalities</t>
  </si>
  <si>
    <t>Biosecurity_Check</t>
  </si>
  <si>
    <t>Vaccine_Given</t>
  </si>
  <si>
    <t>Notes</t>
  </si>
  <si>
    <t>2022-01-07</t>
  </si>
  <si>
    <t>Lephalale Poultry Farm</t>
  </si>
  <si>
    <t>Broiler</t>
  </si>
  <si>
    <t>Waterberg</t>
  </si>
  <si>
    <t>Lephalale</t>
  </si>
  <si>
    <t>FL-001</t>
  </si>
  <si>
    <t>Ross 308</t>
  </si>
  <si>
    <t>20900</t>
  </si>
  <si>
    <t>95.0</t>
  </si>
  <si>
    <t>19200</t>
  </si>
  <si>
    <t>91.9</t>
  </si>
  <si>
    <t>26400</t>
  </si>
  <si>
    <t>37.6</t>
  </si>
  <si>
    <t>12</t>
  </si>
  <si>
    <t>Pass</t>
  </si>
  <si>
    <t>Marek's</t>
  </si>
  <si>
    <t/>
  </si>
  <si>
    <t>Bela-Bela Agri</t>
  </si>
  <si>
    <t>Bela-Bela</t>
  </si>
  <si>
    <t>FL-002</t>
  </si>
  <si>
    <t>17390</t>
  </si>
  <si>
    <t>94.0</t>
  </si>
  <si>
    <t>15900</t>
  </si>
  <si>
    <t>91.4</t>
  </si>
  <si>
    <t>22200</t>
  </si>
  <si>
    <t>37.7</t>
  </si>
  <si>
    <t>8</t>
  </si>
  <si>
    <t>Mokopane Layers</t>
  </si>
  <si>
    <t>Layer</t>
  </si>
  <si>
    <t>Mogalakwena</t>
  </si>
  <si>
    <t>FL-003</t>
  </si>
  <si>
    <t>Lohmann Brown</t>
  </si>
  <si>
    <t>14100</t>
  </si>
  <si>
    <t>12800</t>
  </si>
  <si>
    <t>90.8</t>
  </si>
  <si>
    <t>18000</t>
  </si>
  <si>
    <t>37.5</t>
  </si>
  <si>
    <t>6</t>
  </si>
  <si>
    <t>ND+IB</t>
  </si>
  <si>
    <t>Polokwane Hatchery Hub</t>
  </si>
  <si>
    <t>Capricorn</t>
  </si>
  <si>
    <t>Polokwane</t>
  </si>
  <si>
    <t>FL-004</t>
  </si>
  <si>
    <t>Cobb 500</t>
  </si>
  <si>
    <t>23500</t>
  </si>
  <si>
    <t>21600</t>
  </si>
  <si>
    <t>30000</t>
  </si>
  <si>
    <t>15</t>
  </si>
  <si>
    <t>PASS</t>
  </si>
  <si>
    <t>07-Jan-2022</t>
  </si>
  <si>
    <t>Tzaneen Breeder Farm</t>
  </si>
  <si>
    <t>Breeder</t>
  </si>
  <si>
    <t>Mopani</t>
  </si>
  <si>
    <t>Greater Tzaneen</t>
  </si>
  <si>
    <t>FL-005</t>
  </si>
  <si>
    <t>11400</t>
  </si>
  <si>
    <t>10500</t>
  </si>
  <si>
    <t>92.1</t>
  </si>
  <si>
    <t>14400</t>
  </si>
  <si>
    <t>5</t>
  </si>
  <si>
    <t>Marek's+ND</t>
  </si>
  <si>
    <t>Date format inconsistency</t>
  </si>
  <si>
    <t>Giyani Poultry</t>
  </si>
  <si>
    <t>Ba-Phalaborwa</t>
  </si>
  <si>
    <t>FL-006</t>
  </si>
  <si>
    <t>17860</t>
  </si>
  <si>
    <t>16400</t>
  </si>
  <si>
    <t>91.8</t>
  </si>
  <si>
    <t>22800</t>
  </si>
  <si>
    <t>10</t>
  </si>
  <si>
    <t>2022-01-14</t>
  </si>
  <si>
    <t>21120</t>
  </si>
  <si>
    <t>96.0</t>
  </si>
  <si>
    <t>19400</t>
  </si>
  <si>
    <t>9</t>
  </si>
  <si>
    <t>None</t>
  </si>
  <si>
    <t>15800</t>
  </si>
  <si>
    <t>37.8</t>
  </si>
  <si>
    <t>11</t>
  </si>
  <si>
    <t>lohmann brown</t>
  </si>
  <si>
    <t>14250</t>
  </si>
  <si>
    <t>12950</t>
  </si>
  <si>
    <t>90.9</t>
  </si>
  <si>
    <t>4</t>
  </si>
  <si>
    <t>Breed name not capitalised</t>
  </si>
  <si>
    <t>23750</t>
  </si>
  <si>
    <t>21800</t>
  </si>
  <si>
    <t>13</t>
  </si>
  <si>
    <t>14/01/2022</t>
  </si>
  <si>
    <t>11520</t>
  </si>
  <si>
    <t>10600</t>
  </si>
  <si>
    <t>92.0</t>
  </si>
  <si>
    <t>Another date format</t>
  </si>
  <si>
    <t>16300</t>
  </si>
  <si>
    <t>91.3</t>
  </si>
  <si>
    <t>2022-01-21</t>
  </si>
  <si>
    <t>20680</t>
  </si>
  <si>
    <t>18900</t>
  </si>
  <si>
    <t>14</t>
  </si>
  <si>
    <t>17205</t>
  </si>
  <si>
    <t>93.0</t>
  </si>
  <si>
    <t>15600</t>
  </si>
  <si>
    <t>90.7</t>
  </si>
  <si>
    <t>FAIL</t>
  </si>
  <si>
    <t>Biosecurity check failed</t>
  </si>
  <si>
    <t>13950</t>
  </si>
  <si>
    <t>12600</t>
  </si>
  <si>
    <t>90.3</t>
  </si>
  <si>
    <t>7</t>
  </si>
  <si>
    <t>21500</t>
  </si>
  <si>
    <t>91.5</t>
  </si>
  <si>
    <t>16</t>
  </si>
  <si>
    <t>11280</t>
  </si>
  <si>
    <t>10300</t>
  </si>
  <si>
    <t>17670</t>
  </si>
  <si>
    <t>16100</t>
  </si>
  <si>
    <t>91.1</t>
  </si>
  <si>
    <t>2022-01-28</t>
  </si>
  <si>
    <t>19500</t>
  </si>
  <si>
    <t>92.3</t>
  </si>
  <si>
    <t>ND</t>
  </si>
  <si>
    <t>17945</t>
  </si>
  <si>
    <t>97.0</t>
  </si>
  <si>
    <t>13100</t>
  </si>
  <si>
    <t>91.0</t>
  </si>
  <si>
    <t>37.4</t>
  </si>
  <si>
    <t>broiler</t>
  </si>
  <si>
    <t>24000</t>
  </si>
  <si>
    <t>22100</t>
  </si>
  <si>
    <t>Farm type not capitalised</t>
  </si>
  <si>
    <t>11640</t>
  </si>
  <si>
    <t>10700</t>
  </si>
  <si>
    <t>3</t>
  </si>
  <si>
    <t>ND+Gumboro</t>
  </si>
  <si>
    <t>18430</t>
  </si>
  <si>
    <t>16900</t>
  </si>
  <si>
    <t>91.7</t>
  </si>
  <si>
    <t>2022-02-04</t>
  </si>
  <si>
    <t>20460</t>
  </si>
  <si>
    <t>18700</t>
  </si>
  <si>
    <t>18</t>
  </si>
  <si>
    <t>16835</t>
  </si>
  <si>
    <t>15200</t>
  </si>
  <si>
    <t>37.9</t>
  </si>
  <si>
    <t>22</t>
  </si>
  <si>
    <t>Low fertility + biosec fail - investigate</t>
  </si>
  <si>
    <t>13800</t>
  </si>
  <si>
    <t>12400</t>
  </si>
  <si>
    <t>89.9</t>
  </si>
  <si>
    <t>23250</t>
  </si>
  <si>
    <t>21200</t>
  </si>
  <si>
    <t>91.2</t>
  </si>
  <si>
    <t>20</t>
  </si>
  <si>
    <t>11160</t>
  </si>
  <si>
    <t>10200</t>
  </si>
  <si>
    <t>17290</t>
  </si>
  <si>
    <t>2022-02-11</t>
  </si>
  <si>
    <t>19100</t>
  </si>
  <si>
    <t>12750</t>
  </si>
  <si>
    <t>90.4</t>
  </si>
  <si>
    <t>2022-02-18</t>
  </si>
  <si>
    <t>Ross308</t>
  </si>
  <si>
    <t>Gumboro</t>
  </si>
  <si>
    <t>Breed name missing space</t>
  </si>
  <si>
    <t>17575</t>
  </si>
  <si>
    <t>16000</t>
  </si>
  <si>
    <t>12900</t>
  </si>
  <si>
    <t>90.5</t>
  </si>
  <si>
    <t>IB</t>
  </si>
  <si>
    <t>Gumboro+ND</t>
  </si>
  <si>
    <t>18050</t>
  </si>
  <si>
    <t>16600</t>
  </si>
  <si>
    <t>2022-02-25</t>
  </si>
  <si>
    <t>15700</t>
  </si>
  <si>
    <t>90.2</t>
  </si>
  <si>
    <t>12700</t>
  </si>
  <si>
    <t>90.1</t>
  </si>
  <si>
    <t>2022-03-04</t>
  </si>
  <si>
    <t>Heat wave week - monitor temps</t>
  </si>
  <si>
    <t>13050</t>
  </si>
  <si>
    <t>90.6</t>
  </si>
  <si>
    <t>22000</t>
  </si>
  <si>
    <t>2022-03-11</t>
  </si>
  <si>
    <t>15500</t>
  </si>
  <si>
    <t>19</t>
  </si>
  <si>
    <t>Slightly elevated mortalities</t>
  </si>
  <si>
    <t>12500</t>
  </si>
  <si>
    <t>89.6</t>
  </si>
  <si>
    <t>Hatchability below 90 - flag</t>
  </si>
  <si>
    <t>Missing eggs fertile count</t>
  </si>
  <si>
    <t>2022-03-18</t>
  </si>
  <si>
    <t>12920</t>
  </si>
  <si>
    <t>2022-03-25</t>
  </si>
  <si>
    <t>Ba-phalaborwa</t>
  </si>
  <si>
    <t>19000</t>
  </si>
  <si>
    <t>57</t>
  </si>
  <si>
    <t>Missing FL-006 and municipality capitalisation issue</t>
  </si>
  <si>
    <t>2022-04-01</t>
  </si>
  <si>
    <t>0</t>
  </si>
  <si>
    <t>N/A</t>
  </si>
  <si>
    <t>Easter shutdown - no production</t>
  </si>
  <si>
    <t>Easter shutdown</t>
  </si>
  <si>
    <t>2022-04-08</t>
  </si>
  <si>
    <t>Post-shutdown restart</t>
  </si>
  <si>
    <t>16500</t>
  </si>
  <si>
    <t>2022-04-15</t>
  </si>
  <si>
    <t>12550</t>
  </si>
  <si>
    <t>21100</t>
  </si>
  <si>
    <t>21</t>
  </si>
  <si>
    <t>Hatchability below 91 - flag</t>
  </si>
  <si>
    <t>Biosecurity breach - staff entry protocol</t>
  </si>
  <si>
    <t>2022-04-22</t>
  </si>
  <si>
    <t>2022-04-29</t>
  </si>
  <si>
    <t>DUPLICATE ROW</t>
  </si>
  <si>
    <t>2022-05-06</t>
  </si>
  <si>
    <t>Eggs set outlier - data entry error</t>
  </si>
  <si>
    <t>2022-05-13</t>
  </si>
  <si>
    <t>2022-05-20</t>
  </si>
  <si>
    <t>waterberg</t>
  </si>
  <si>
    <t>District not capitalised</t>
  </si>
  <si>
    <t>2022-05-27</t>
  </si>
  <si>
    <t>Fail</t>
  </si>
  <si>
    <t>Row Labels</t>
  </si>
  <si>
    <t>Grand Total</t>
  </si>
  <si>
    <t>Month</t>
  </si>
  <si>
    <t>Quarter</t>
  </si>
  <si>
    <t>Q1</t>
  </si>
  <si>
    <t>Q2</t>
  </si>
  <si>
    <t>(All)</t>
  </si>
  <si>
    <t>Broiler Total</t>
  </si>
  <si>
    <t>Bela-Bela Agri Total</t>
  </si>
  <si>
    <t>Giyani Poultry Total</t>
  </si>
  <si>
    <t>Lephalale Poultry Farm Total</t>
  </si>
  <si>
    <t>Layer Total</t>
  </si>
  <si>
    <t>Mokopane Layers Total</t>
  </si>
  <si>
    <t>Polokwane Hatchery Hub Total</t>
  </si>
  <si>
    <t>Breeder Total</t>
  </si>
  <si>
    <t>Tzaneen Breeder Farm Total</t>
  </si>
  <si>
    <t>Min</t>
  </si>
  <si>
    <t>Max</t>
  </si>
  <si>
    <t>Cull Rate %</t>
  </si>
  <si>
    <t>Culled</t>
  </si>
  <si>
    <t>Jan</t>
  </si>
  <si>
    <t>Feb</t>
  </si>
  <si>
    <t>Mar</t>
  </si>
  <si>
    <t>Apr</t>
  </si>
  <si>
    <t>May</t>
  </si>
  <si>
    <t>Avg Hatchability</t>
  </si>
  <si>
    <t>Total Mortalities</t>
  </si>
  <si>
    <t>Total Eggs Hatched</t>
  </si>
  <si>
    <t>Total Eggs Set</t>
  </si>
  <si>
    <t>🐣  LIMPOPO POULTRY HATCHERY — PRODUCTION DASHBOARD  |  Jan–May 2022</t>
  </si>
  <si>
    <t>KEY PERFORMANCE INDICATORS</t>
  </si>
  <si>
    <t>FARM PERFORMANCE SUMMARY</t>
  </si>
  <si>
    <t>Total Weeks of Data</t>
  </si>
  <si>
    <t>Farm</t>
  </si>
  <si>
    <t>Type</t>
  </si>
  <si>
    <t>Weeks</t>
  </si>
  <si>
    <t>Eggs Set</t>
  </si>
  <si>
    <t>Hatched</t>
  </si>
  <si>
    <t>Hatch%</t>
  </si>
  <si>
    <t>Fert%</t>
  </si>
  <si>
    <t>1st Grade</t>
  </si>
  <si>
    <t>Total Chicks Hatched</t>
  </si>
  <si>
    <t>Overall Hatchability %</t>
  </si>
  <si>
    <t>Avg Fertility Rate %</t>
  </si>
  <si>
    <t>Total 1st Grade Chicks</t>
  </si>
  <si>
    <t>Biosec Fail Events</t>
  </si>
  <si>
    <t>KEY INSIGHTS &amp; RECOMMENDATIONS</t>
  </si>
  <si>
    <t>Avg Cull Rate %</t>
  </si>
  <si>
    <r>
      <t xml:space="preserve">3. </t>
    </r>
    <r>
      <rPr>
        <b/>
        <sz val="9"/>
        <rFont val="Calibri"/>
        <family val="2"/>
      </rPr>
      <t xml:space="preserve">BIOSECURITY: </t>
    </r>
    <r>
      <rPr>
        <sz val="9"/>
        <rFont val="Calibri"/>
        <family val="2"/>
      </rPr>
      <t>3 biosecurity check failures recorded. Bela-Bela Agri (Feb 4) and Giyani Poultry (Apr 15) were repeat concerns — enforce staff entry protocols.</t>
    </r>
  </si>
  <si>
    <r>
      <t xml:space="preserve">4. </t>
    </r>
    <r>
      <rPr>
        <b/>
        <sz val="9"/>
        <rFont val="Calibri"/>
        <family val="2"/>
      </rPr>
      <t>PRODUCTION GAPS:</t>
    </r>
    <r>
      <rPr>
        <sz val="9"/>
        <rFont val="Calibri"/>
        <family val="2"/>
      </rPr>
      <t xml:space="preserve"> Easter shutdown (2022-04-01) caused 100% production loss across all 6 farms. Plan ahead to minimise restart delays.</t>
    </r>
  </si>
  <si>
    <r>
      <t>6.</t>
    </r>
    <r>
      <rPr>
        <b/>
        <sz val="9"/>
        <rFont val="Calibri"/>
        <family val="2"/>
      </rPr>
      <t xml:space="preserve"> FEED EFFICIENCY: </t>
    </r>
    <r>
      <rPr>
        <sz val="9"/>
        <rFont val="Calibri"/>
        <family val="2"/>
      </rPr>
      <t>Waterberg district farms consumed more feed per hatched chick — recommend feed conversion ratio analysis in next phase.</t>
    </r>
  </si>
  <si>
    <t>Cull Rate%</t>
  </si>
  <si>
    <t>🔍  DATA QUALITY REPORT — Limpopo Poultry Hatchery Production</t>
  </si>
  <si>
    <t xml:space="preserve">  Issue: Inconsistent Date Formats  (3 records)</t>
  </si>
  <si>
    <t>✅ Fixed</t>
  </si>
  <si>
    <t xml:space="preserve">  → All dates normalised to yyyy-mm-dd format in Cleaned Data sheet.</t>
  </si>
  <si>
    <t xml:space="preserve">  Issue: Breed Name Inconsistencies  (2 records)</t>
  </si>
  <si>
    <t xml:space="preserve">  'lohmann brown' (row 10) and 'Ross308' (row 38) were not properly capitalised or spaced.</t>
  </si>
  <si>
    <t xml:space="preserve">  Issue: Farm Type / District Case Issues  (2 records)</t>
  </si>
  <si>
    <t xml:space="preserve">  'broiler' (row 23) and 'waterberg' (row 117) were not capitalised.</t>
  </si>
  <si>
    <t xml:space="preserve">  → Title-case standardisation applied to Farm_Type and District columns.</t>
  </si>
  <si>
    <t xml:space="preserve">  Issue: Biosecurity FAIL Records  (3 records)</t>
  </si>
  <si>
    <t xml:space="preserve">  FL-002 (2022-01-21), FL-002 (2022-02-04), FL-006 (2022-04-15) failed biosecurity checks.</t>
  </si>
  <si>
    <t>⚠ Flagged</t>
  </si>
  <si>
    <t xml:space="preserve">  → Rows retained and flagged with QC_Flag = '⚠ Biosec Fail' for review.</t>
  </si>
  <si>
    <t xml:space="preserve">  Issue: Shutdown / Zero-Production Weeks  (6 records)</t>
  </si>
  <si>
    <t xml:space="preserve">  Easter shutdown week (2022-04-01): all 6 farms had 0 eggs set — no production data.</t>
  </si>
  <si>
    <t>✅ Excluded</t>
  </si>
  <si>
    <t xml:space="preserve">  → Zero-production rows removed from Cleaned Data; retained in Raw Data.</t>
  </si>
  <si>
    <t xml:space="preserve">  Issue: Duplicate Row  (1 record)</t>
  </si>
  <si>
    <t xml:space="preserve">  FL-001 week 2022-04-29 appeared twice (row 104 marked 'DUPLICATE ROW' in Notes).</t>
  </si>
  <si>
    <t>✅ Removed</t>
  </si>
  <si>
    <t xml:space="preserve">  → Duplicate removed. Only one record retained per Farm+Week combination.</t>
  </si>
  <si>
    <t xml:space="preserve">  Issue: Eggs Set Outlier  (1 record)</t>
  </si>
  <si>
    <t xml:space="preserve">  FL-004 (2022-05-06) had Eggs_Set = 999,999 — clearly a data entry error (normal is ~25,000).</t>
  </si>
  <si>
    <t xml:space="preserve">  → Records retained with QC_Flag = '⚠ Low Hatchability' for management review.</t>
  </si>
  <si>
    <t>QC Flag</t>
  </si>
  <si>
    <t>PIVOT 1 — Avg Hatchability % by Farm &amp; Quarter</t>
  </si>
  <si>
    <t>Fertility %</t>
  </si>
  <si>
    <t>Hatchability %</t>
  </si>
  <si>
    <t>Bio Sec Test</t>
  </si>
  <si>
    <t>Biosec Test</t>
  </si>
  <si>
    <t xml:space="preserve">Max </t>
  </si>
  <si>
    <t>Graded 1st</t>
  </si>
  <si>
    <t>Graded 2nd</t>
  </si>
  <si>
    <t>Farm Type</t>
  </si>
  <si>
    <t>PIVOT 2— Avg Fertility %  by Farm &amp; Quarter</t>
  </si>
  <si>
    <t>PIVOT 3 — Total Chick Output by Farm</t>
  </si>
  <si>
    <t>PIVOT 4 — Monthly Production Summary</t>
  </si>
  <si>
    <t>QC Flag Test</t>
  </si>
  <si>
    <t>Flag Rate %</t>
  </si>
  <si>
    <t>PIVOT 5 — QC Flag Summary</t>
  </si>
  <si>
    <t>PIVOT 6— QC Flag Summary</t>
  </si>
  <si>
    <t xml:space="preserve"> QC Flag Test</t>
  </si>
  <si>
    <t>Fail Rate %</t>
  </si>
  <si>
    <t>Biosecurity format incorrect</t>
  </si>
  <si>
    <t>Missing FL-006, incorrect breed and municipality capitalisation issue</t>
  </si>
  <si>
    <t xml:space="preserve">  2 rows used dd-Mon-yyyy or dd/mm/yyyy instead of yyyy-mm-dd (FL-005 rows 6; FL-005 row 12).</t>
  </si>
  <si>
    <t xml:space="preserve">  → Title-case applied; 'Ross308' corrected to 'Ross 308' and  'lohmann brown'  corrected to  'Lohmann Brown' .</t>
  </si>
  <si>
    <t xml:space="preserve">  → Value could have been corrected to 25,000 based on historical pattern for this farm/flock instead was removed from cleaned data .</t>
  </si>
  <si>
    <t xml:space="preserve">  Issue: Low Hatchability (&lt;91%)  (30 records)</t>
  </si>
  <si>
    <t xml:space="preserve">  30 records were flagged for having 'Low hatchability'— below the 91% threshold.</t>
  </si>
  <si>
    <r>
      <t xml:space="preserve">5. </t>
    </r>
    <r>
      <rPr>
        <b/>
        <sz val="9"/>
        <rFont val="Calibri"/>
        <family val="2"/>
      </rPr>
      <t>DATA QUALITY:</t>
    </r>
    <r>
      <rPr>
        <sz val="9"/>
        <rFont val="Calibri"/>
        <family val="2"/>
      </rPr>
      <t xml:space="preserve"> 30 weekly records fell below the 91% hatchability threshold. Cross-check with environmental log data for temperature/humidity correlations.</t>
    </r>
  </si>
  <si>
    <r>
      <t xml:space="preserve">1. </t>
    </r>
    <r>
      <rPr>
        <b/>
        <sz val="9"/>
        <rFont val="Calibri"/>
        <family val="2"/>
      </rPr>
      <t>BEST PERFORMER</t>
    </r>
    <r>
      <rPr>
        <sz val="9"/>
        <rFont val="Calibri"/>
        <family val="2"/>
      </rPr>
      <t>: Tzaneen Breeder Farm achieved the highest avg hatchability of 91.86% — consistent with optimal incubation conditions.</t>
    </r>
  </si>
  <si>
    <r>
      <t xml:space="preserve">2. </t>
    </r>
    <r>
      <rPr>
        <b/>
        <sz val="9"/>
        <rFont val="Calibri"/>
        <family val="2"/>
      </rPr>
      <t>WATCH LIST:</t>
    </r>
    <r>
      <rPr>
        <sz val="9"/>
        <rFont val="Calibri"/>
        <family val="2"/>
      </rPr>
      <t xml:space="preserve"> Mokopane Layers recorded the lowest avg hatchability of 90.50%. Investigate incubation temperature variance and egg handling procedures.</t>
    </r>
  </si>
  <si>
    <r>
      <rPr>
        <b/>
        <sz val="16"/>
        <color rgb="FFFFFFFF"/>
        <rFont val="Calibri"/>
        <family val="2"/>
      </rPr>
      <t xml:space="preserve">📊 </t>
    </r>
    <r>
      <rPr>
        <b/>
        <sz val="13"/>
        <color rgb="FFFFFFFF"/>
        <rFont val="Calibri"/>
        <family val="2"/>
      </rPr>
      <t xml:space="preserve"> PRODUCTION ANALYSIS — Limpopo Poultry Hatchery 2022 (Jan–May)</t>
    </r>
  </si>
  <si>
    <r>
      <t>7.</t>
    </r>
    <r>
      <rPr>
        <b/>
        <sz val="9"/>
        <rFont val="Calibri"/>
        <family val="2"/>
      </rPr>
      <t xml:space="preserve"> </t>
    </r>
    <r>
      <rPr>
        <b/>
        <sz val="10"/>
        <rFont val="Calibri"/>
        <family val="2"/>
      </rPr>
      <t>HIGHEST CULL RATE OVERALL</t>
    </r>
    <r>
      <rPr>
        <sz val="9"/>
        <rFont val="Calibri"/>
        <family val="2"/>
      </rPr>
      <t>: Giyani Poultry (0.67%) — worth investigating given its fert% is also the lowest of the broiler group, which could point to a shared root cause (breeder flock age, incubation conditions, or handling)</t>
    </r>
  </si>
  <si>
    <r>
      <t>8.</t>
    </r>
    <r>
      <rPr>
        <b/>
        <sz val="9"/>
        <rFont val="Calibri"/>
        <family val="2"/>
      </rPr>
      <t xml:space="preserve"> BEST MORTALITY PROFILE</t>
    </r>
    <r>
      <rPr>
        <sz val="9"/>
        <rFont val="Calibri"/>
        <family val="2"/>
      </rPr>
      <t>: Tzaneen Breeder Farm (0.40% cull, 86 mortalities on 240,000 set) — consistent with it also having the best fert% and hatch% in the set. Good fertility and good chick viability tend to move together, which is what you'd expect if the breeder flock itself is well-managed.</t>
    </r>
  </si>
  <si>
    <t xml:space="preserve">  SUMMARY:  Raw rows = 127   |   Rows removed/excluded = 9   |   Cleaned rows = 118   |   Data completeness after cleaning = 92.9%</t>
  </si>
  <si>
    <t>Column</t>
  </si>
  <si>
    <t>Description</t>
  </si>
  <si>
    <t>Date</t>
  </si>
  <si>
    <t>Week the record covers (Saturdays)</t>
  </si>
  <si>
    <t>Month / Quarter</t>
  </si>
  <si>
    <t>Text</t>
  </si>
  <si>
    <t>Derived from Week_Ending (formula)</t>
  </si>
  <si>
    <t>One of 6 farms (Bela-Bela Agri, Giyani Poultry, Lephalale Poultry Farm, Mokopane Layers, Polokwane Hatchery Hub, Tzaneen Breeder Farm)</t>
  </si>
  <si>
    <t>Broiler / Layer / Breeder</t>
  </si>
  <si>
    <t>District / Municipality</t>
  </si>
  <si>
    <t>Waterberg, Capricorn, or Mopani; municipality nested under it</t>
  </si>
  <si>
    <t>FL-001 to FL-006, one per farm</t>
  </si>
  <si>
    <t>Ross 308, Cobb 500, or Lohmann Brown</t>
  </si>
  <si>
    <t>Integer</t>
  </si>
  <si>
    <t>Eggs placed in incubator that week</t>
  </si>
  <si>
    <t>Eggs confirmed fertile</t>
  </si>
  <si>
    <r>
      <t xml:space="preserve">Eggs_Fertile ÷ Eggs_Set × 100 — </t>
    </r>
    <r>
      <rPr>
        <b/>
        <sz val="11"/>
        <color theme="1"/>
        <rFont val="Aptos Narrow"/>
        <family val="2"/>
        <scheme val="minor"/>
      </rPr>
      <t>hardcoded value</t>
    </r>
    <r>
      <rPr>
        <sz val="11"/>
        <color theme="1"/>
        <rFont val="Aptos Narrow"/>
        <family val="2"/>
        <scheme val="minor"/>
      </rPr>
      <t>, not a live formula</t>
    </r>
  </si>
  <si>
    <t>Chicks that hatched</t>
  </si>
  <si>
    <t>Formula (%)</t>
  </si>
  <si>
    <t>Eggs_Hatched ÷ Eggs_Fertile × 100</t>
  </si>
  <si>
    <t>Chicks_Graded_1st / _2nd</t>
  </si>
  <si>
    <t>Grading outcome</t>
  </si>
  <si>
    <t>Chicks culled post-hatch</t>
  </si>
  <si>
    <t>Chicks_Culled ÷ Eggs_Hatched × 100</t>
  </si>
  <si>
    <t>Feed_Consumed_kg / Water_Consumed_L</t>
  </si>
  <si>
    <t>Weekly consumption</t>
  </si>
  <si>
    <t>Avg_Incubation_Temp_C / Avg_Humidity_Pct</t>
  </si>
  <si>
    <t>Float/Int</t>
  </si>
  <si>
    <t>Incubator conditions</t>
  </si>
  <si>
    <t>Deaths during the week</t>
  </si>
  <si>
    <t>Pass / Fail (3 fails on record)</t>
  </si>
  <si>
    <t>Formula (0/1)</t>
  </si>
  <si>
    <t>1 = failed biosecurity</t>
  </si>
  <si>
    <t>Formula (text)</t>
  </si>
  <si>
    <t>Flags Hatchability_Pct &lt; 91% (88 "OK", 30 "Low Hatchability")</t>
  </si>
  <si>
    <t>1 = flagged</t>
  </si>
  <si>
    <t>e.g. Marek's, ND+IB (71 blanks — likely "none given" that week)</t>
  </si>
  <si>
    <t>Free text, mostly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</si>
</sst>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yy/mm/dd;@"/>
    <numFmt numFmtId="166" formatCode="0.00;[Red]0.00"/>
    <numFmt numFmtId="167" formatCode="0.0000000"/>
  </numFmts>
  <fonts count="1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name val="Calibri"/>
      <family val="2"/>
    </font>
    <font>
      <b/>
      <sz val="10"/>
      <color rgb="FF1A5276"/>
      <name val="Calibri"/>
      <family val="2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14"/>
      <color rgb="FFFFFFFF"/>
      <name val="Calibri"/>
      <family val="2"/>
    </font>
    <font>
      <i/>
      <sz val="9"/>
      <color rgb="FF1A5276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Aptos Narrow"/>
      <family val="2"/>
      <scheme val="minor"/>
    </font>
    <font>
      <b/>
      <sz val="16"/>
      <color rgb="FFFFFFFF"/>
      <name val="Calibri"/>
      <family val="2"/>
    </font>
    <font>
      <b/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A5276"/>
        <bgColor rgb="FF2C3E50"/>
      </patternFill>
    </fill>
    <fill>
      <patternFill patternType="solid">
        <fgColor rgb="FF1E8449"/>
        <bgColor rgb="FF008080"/>
      </patternFill>
    </fill>
    <fill>
      <patternFill patternType="solid">
        <fgColor rgb="FFFFFFFF"/>
        <bgColor rgb="FFF9F9F9"/>
      </patternFill>
    </fill>
    <fill>
      <patternFill patternType="solid">
        <fgColor rgb="FF2C3E50"/>
        <bgColor rgb="FF1A5276"/>
      </patternFill>
    </fill>
    <fill>
      <patternFill patternType="solid">
        <fgColor rgb="FFD6EAF8"/>
        <bgColor rgb="FFE8E8E8"/>
      </patternFill>
    </fill>
    <fill>
      <patternFill patternType="solid">
        <fgColor rgb="FFF2F2F2"/>
        <bgColor rgb="FFEAF2FF"/>
      </patternFill>
    </fill>
    <fill>
      <patternFill patternType="solid">
        <fgColor rgb="FFFFD0D0"/>
        <bgColor rgb="FFFFE5CC"/>
      </patternFill>
    </fill>
    <fill>
      <patternFill patternType="solid">
        <fgColor rgb="FFF39C12"/>
        <bgColor rgb="FFE67E22"/>
      </patternFill>
    </fill>
    <fill>
      <patternFill patternType="solid">
        <fgColor rgb="FFA3DBFF"/>
        <bgColor indexed="64"/>
      </patternFill>
    </fill>
    <fill>
      <patternFill patternType="solid">
        <fgColor rgb="FF227ACB"/>
        <bgColor indexed="64"/>
      </patternFill>
    </fill>
  </fills>
  <borders count="22">
    <border>
      <left/>
      <right/>
      <top/>
      <bottom/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BDC3C7"/>
      </top>
      <bottom style="thin">
        <color rgb="FFBDC3C7"/>
      </bottom>
      <diagonal/>
    </border>
    <border>
      <left/>
      <right style="thin">
        <color indexed="64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indexed="64"/>
      </right>
      <top style="thin">
        <color rgb="FFBDC3C7"/>
      </top>
      <bottom style="thin">
        <color rgb="FFBDC3C7"/>
      </bottom>
      <diagonal/>
    </border>
    <border>
      <left style="thin">
        <color indexed="64"/>
      </left>
      <right/>
      <top style="thin">
        <color rgb="FFBDC3C7"/>
      </top>
      <bottom style="thin">
        <color indexed="64"/>
      </bottom>
      <diagonal/>
    </border>
    <border>
      <left/>
      <right/>
      <top style="thin">
        <color rgb="FFBDC3C7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BDC3C7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BDC3C7"/>
      </bottom>
      <diagonal/>
    </border>
    <border>
      <left/>
      <right/>
      <top/>
      <bottom style="thin">
        <color rgb="FFBDC3C7"/>
      </bottom>
      <diagonal/>
    </border>
    <border>
      <left/>
      <right style="thin">
        <color indexed="64"/>
      </right>
      <top/>
      <bottom style="thin">
        <color rgb="FFBDC3C7"/>
      </bottom>
      <diagonal/>
    </border>
  </borders>
  <cellStyleXfs count="1">
    <xf numFmtId="0" fontId="0" fillId="0" borderId="0"/>
  </cellStyleXfs>
  <cellXfs count="88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 applyAlignment="1">
      <alignment horizontal="right"/>
    </xf>
    <xf numFmtId="3" fontId="7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3" fontId="7" fillId="7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center" vertical="center"/>
    </xf>
    <xf numFmtId="3" fontId="9" fillId="8" borderId="2" xfId="0" applyNumberFormat="1" applyFont="1" applyFill="1" applyBorder="1" applyAlignment="1">
      <alignment horizontal="center" vertical="center"/>
    </xf>
    <xf numFmtId="2" fontId="9" fillId="9" borderId="2" xfId="0" applyNumberFormat="1" applyFont="1" applyFill="1" applyBorder="1" applyAlignment="1">
      <alignment horizontal="center" vertical="center"/>
    </xf>
    <xf numFmtId="2" fontId="9" fillId="8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3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2" fontId="7" fillId="7" borderId="2" xfId="0" applyNumberFormat="1" applyFont="1" applyFill="1" applyBorder="1" applyAlignment="1">
      <alignment horizontal="center" vertical="center"/>
    </xf>
    <xf numFmtId="2" fontId="7" fillId="5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8" fillId="6" borderId="12" xfId="0" applyFont="1" applyFill="1" applyBorder="1" applyAlignment="1">
      <alignment horizontal="center" vertical="center"/>
    </xf>
    <xf numFmtId="2" fontId="9" fillId="8" borderId="12" xfId="0" applyNumberFormat="1" applyFont="1" applyFill="1" applyBorder="1" applyAlignment="1">
      <alignment horizontal="center" vertical="center"/>
    </xf>
    <xf numFmtId="2" fontId="9" fillId="5" borderId="12" xfId="0" applyNumberFormat="1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0" fillId="11" borderId="0" xfId="0" applyFill="1"/>
    <xf numFmtId="10" fontId="0" fillId="0" borderId="0" xfId="0" applyNumberFormat="1"/>
    <xf numFmtId="0" fontId="0" fillId="0" borderId="0" xfId="0" applyAlignment="1">
      <alignment wrapText="1"/>
    </xf>
    <xf numFmtId="0" fontId="13" fillId="11" borderId="0" xfId="0" applyFont="1" applyFill="1"/>
    <xf numFmtId="1" fontId="9" fillId="8" borderId="2" xfId="0" applyNumberFormat="1" applyFont="1" applyFill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right"/>
    </xf>
    <xf numFmtId="167" fontId="0" fillId="0" borderId="0" xfId="0" applyNumberFormat="1" applyAlignment="1">
      <alignment horizontal="left"/>
    </xf>
    <xf numFmtId="167" fontId="0" fillId="0" borderId="0" xfId="0" applyNumberFormat="1" applyAlignment="1">
      <alignment horizontal="right"/>
    </xf>
    <xf numFmtId="0" fontId="0" fillId="0" borderId="0" xfId="0" applyAlignment="1">
      <alignment vertical="center" wrapText="1"/>
    </xf>
    <xf numFmtId="0" fontId="13" fillId="12" borderId="0" xfId="0" applyFont="1" applyFill="1" applyAlignment="1">
      <alignment horizontal="center" vertical="center" wrapText="1"/>
    </xf>
    <xf numFmtId="0" fontId="9" fillId="5" borderId="10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9" fillId="5" borderId="11" xfId="0" applyFont="1" applyFill="1" applyBorder="1" applyAlignment="1">
      <alignment horizontal="left" vertical="center" wrapText="1"/>
    </xf>
    <xf numFmtId="0" fontId="9" fillId="7" borderId="10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9" fillId="7" borderId="11" xfId="0" applyFont="1" applyFill="1" applyBorder="1" applyAlignment="1">
      <alignment horizontal="left" vertical="center" wrapText="1"/>
    </xf>
    <xf numFmtId="0" fontId="9" fillId="5" borderId="13" xfId="0" applyFont="1" applyFill="1" applyBorder="1" applyAlignment="1">
      <alignment horizontal="left" vertical="center" wrapText="1"/>
    </xf>
    <xf numFmtId="0" fontId="9" fillId="5" borderId="14" xfId="0" applyFont="1" applyFill="1" applyBorder="1" applyAlignment="1">
      <alignment horizontal="left" vertical="center" wrapText="1"/>
    </xf>
    <xf numFmtId="0" fontId="9" fillId="5" borderId="17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7" borderId="10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11" fillId="7" borderId="10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7" borderId="11" xfId="0" applyFont="1" applyFill="1" applyBorder="1" applyAlignment="1">
      <alignment horizontal="left" vertical="center" wrapText="1"/>
    </xf>
    <xf numFmtId="0" fontId="5" fillId="4" borderId="18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/>
    </xf>
    <xf numFmtId="0" fontId="5" fillId="4" borderId="16" xfId="0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left" vertical="center"/>
    </xf>
    <xf numFmtId="0" fontId="5" fillId="6" borderId="20" xfId="0" applyFont="1" applyFill="1" applyBorder="1" applyAlignment="1">
      <alignment horizontal="left" vertical="center"/>
    </xf>
    <xf numFmtId="0" fontId="5" fillId="6" borderId="21" xfId="0" applyFont="1" applyFill="1" applyBorder="1" applyAlignment="1">
      <alignment horizontal="left" vertical="center"/>
    </xf>
    <xf numFmtId="0" fontId="9" fillId="8" borderId="10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9" fillId="8" borderId="4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8">
    <dxf>
      <fill>
        <patternFill patternType="solid">
          <bgColor rgb="FFA3DBFF"/>
        </patternFill>
      </fill>
    </dxf>
    <dxf>
      <fill>
        <patternFill patternType="solid">
          <bgColor rgb="FFA3DBFF"/>
        </patternFill>
      </fill>
    </dxf>
    <dxf>
      <alignment wrapText="1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0.0000000"/>
      <alignment horizontal="right" vertical="bottom" textRotation="0" wrapText="0" indent="0" justifyLastLine="0" shrinkToFit="0" readingOrder="0"/>
    </dxf>
    <dxf>
      <numFmt numFmtId="2" formatCode="0.00"/>
    </dxf>
    <dxf>
      <numFmt numFmtId="0" formatCode="General"/>
    </dxf>
    <dxf>
      <numFmt numFmtId="2" formatCode="0.00"/>
    </dxf>
    <dxf>
      <numFmt numFmtId="166" formatCode="0.00;[Red]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yy/mm/dd;@"/>
    </dxf>
    <dxf>
      <numFmt numFmtId="165" formatCode="yy/mm/dd;@"/>
    </dxf>
    <dxf>
      <numFmt numFmtId="165" formatCode="yy/mm/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227ACB"/>
      <color rgb="FFA3D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Monthly Eggs Set vs Hatched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[1]_ChartData!$B$1</c:f>
              <c:strCache>
                <c:ptCount val="1"/>
                <c:pt idx="0">
                  <c:v>Eggs Set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[1]_ChartData!$A$2:$A$6</c:f>
              <c:strCache>
                <c:ptCount val="5"/>
                <c:pt idx="0">
                  <c:v>Jan 2022</c:v>
                </c:pt>
                <c:pt idx="1">
                  <c:v>Feb 2022</c:v>
                </c:pt>
                <c:pt idx="2">
                  <c:v>Mar 2022</c:v>
                </c:pt>
                <c:pt idx="3">
                  <c:v>Apr 2022</c:v>
                </c:pt>
                <c:pt idx="4">
                  <c:v>May 2022</c:v>
                </c:pt>
              </c:strCache>
            </c:strRef>
          </c:cat>
          <c:val>
            <c:numRef>
              <c:f>[1]_ChartData!$B$2:$B$6</c:f>
              <c:numCache>
                <c:formatCode>General</c:formatCode>
                <c:ptCount val="5"/>
                <c:pt idx="0">
                  <c:v>446000</c:v>
                </c:pt>
                <c:pt idx="1">
                  <c:v>446000</c:v>
                </c:pt>
                <c:pt idx="2">
                  <c:v>444860</c:v>
                </c:pt>
                <c:pt idx="3">
                  <c:v>446000</c:v>
                </c:pt>
                <c:pt idx="4">
                  <c:v>446000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E5-4E88-BF90-B0E8B2A011D1}"/>
            </c:ext>
          </c:extLst>
        </c:ser>
        <c:ser>
          <c:idx val="1"/>
          <c:order val="1"/>
          <c:tx>
            <c:strRef>
              <c:f>[1]_ChartData!$C$1</c:f>
              <c:strCache>
                <c:ptCount val="1"/>
                <c:pt idx="0">
                  <c:v>Hatched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[1]_ChartData!$A$2:$A$6</c:f>
              <c:strCache>
                <c:ptCount val="5"/>
                <c:pt idx="0">
                  <c:v>Jan 2022</c:v>
                </c:pt>
                <c:pt idx="1">
                  <c:v>Feb 2022</c:v>
                </c:pt>
                <c:pt idx="2">
                  <c:v>Mar 2022</c:v>
                </c:pt>
                <c:pt idx="3">
                  <c:v>Apr 2022</c:v>
                </c:pt>
                <c:pt idx="4">
                  <c:v>May 2022</c:v>
                </c:pt>
              </c:strCache>
            </c:strRef>
          </c:cat>
          <c:val>
            <c:numRef>
              <c:f>[1]_ChartData!$C$2:$C$6</c:f>
              <c:numCache>
                <c:formatCode>General</c:formatCode>
                <c:ptCount val="5"/>
                <c:pt idx="0">
                  <c:v>386950</c:v>
                </c:pt>
                <c:pt idx="1">
                  <c:v>382050</c:v>
                </c:pt>
                <c:pt idx="2">
                  <c:v>371361</c:v>
                </c:pt>
                <c:pt idx="3">
                  <c:v>386550</c:v>
                </c:pt>
                <c:pt idx="4">
                  <c:v>387300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E5-4E88-BF90-B0E8B2A01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hiLowLines>
        <c:smooth val="0"/>
        <c:axId val="34997767"/>
        <c:axId val="95213991"/>
      </c:lineChart>
      <c:catAx>
        <c:axId val="34997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13991"/>
        <c:crosses val="autoZero"/>
        <c:auto val="1"/>
        <c:lblAlgn val="ctr"/>
        <c:lblOffset val="100"/>
        <c:noMultiLvlLbl val="0"/>
      </c:catAx>
      <c:valAx>
        <c:axId val="95213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97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Total Mortalities by Farm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[1]_ChartData!$K$1</c:f>
              <c:strCache>
                <c:ptCount val="1"/>
                <c:pt idx="0">
                  <c:v>Mortalities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[1]_ChartData!$J$2:$J$7</c:f>
              <c:strCache>
                <c:ptCount val="6"/>
                <c:pt idx="0">
                  <c:v>Bela-Bela Agri</c:v>
                </c:pt>
                <c:pt idx="1">
                  <c:v>Giyani Poultry</c:v>
                </c:pt>
                <c:pt idx="2">
                  <c:v>Lephalale Poultry Farm</c:v>
                </c:pt>
                <c:pt idx="3">
                  <c:v>Mokopane Layers</c:v>
                </c:pt>
                <c:pt idx="4">
                  <c:v>Polokwane Hatchery Hub</c:v>
                </c:pt>
                <c:pt idx="5">
                  <c:v>Tzaneen Breeder Farm</c:v>
                </c:pt>
              </c:strCache>
            </c:strRef>
          </c:cat>
          <c:val>
            <c:numRef>
              <c:f>[1]_ChartData!$K$2:$K$7</c:f>
              <c:numCache>
                <c:formatCode>General</c:formatCode>
                <c:ptCount val="6"/>
                <c:pt idx="0">
                  <c:v>216</c:v>
                </c:pt>
                <c:pt idx="1">
                  <c:v>172</c:v>
                </c:pt>
                <c:pt idx="2">
                  <c:v>210</c:v>
                </c:pt>
                <c:pt idx="3">
                  <c:v>123</c:v>
                </c:pt>
                <c:pt idx="4">
                  <c:v>276</c:v>
                </c:pt>
                <c:pt idx="5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A-40C1-97CC-65D57C60A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666869"/>
        <c:axId val="64756104"/>
      </c:barChart>
      <c:catAx>
        <c:axId val="1566686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6104"/>
        <c:crosses val="autoZero"/>
        <c:auto val="1"/>
        <c:lblAlgn val="ctr"/>
        <c:lblOffset val="100"/>
        <c:noMultiLvlLbl val="0"/>
      </c:catAx>
      <c:valAx>
        <c:axId val="64756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86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Total 1st Grade Chicks by Farm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[1]_ChartData!$H$1</c:f>
              <c:strCache>
                <c:ptCount val="1"/>
                <c:pt idx="0">
                  <c:v>Total Chicks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[1]_ChartData!$F$2:$F$7</c:f>
              <c:strCache>
                <c:ptCount val="6"/>
                <c:pt idx="0">
                  <c:v>Bela-Bela Agri</c:v>
                </c:pt>
                <c:pt idx="1">
                  <c:v>Giyani Poultry</c:v>
                </c:pt>
                <c:pt idx="2">
                  <c:v>Lephalale Poultry Farm</c:v>
                </c:pt>
                <c:pt idx="3">
                  <c:v>Mokopane Layers</c:v>
                </c:pt>
                <c:pt idx="4">
                  <c:v>Polokwane Hatchery Hub</c:v>
                </c:pt>
                <c:pt idx="5">
                  <c:v>Tzaneen Breeder Farm</c:v>
                </c:pt>
              </c:strCache>
            </c:strRef>
          </c:cat>
          <c:val>
            <c:numRef>
              <c:f>[1]_ChartData!$H$2:$H$7</c:f>
              <c:numCache>
                <c:formatCode>General</c:formatCode>
                <c:ptCount val="6"/>
                <c:pt idx="0">
                  <c:v>310600</c:v>
                </c:pt>
                <c:pt idx="1">
                  <c:v>304290</c:v>
                </c:pt>
                <c:pt idx="2">
                  <c:v>376200</c:v>
                </c:pt>
                <c:pt idx="3">
                  <c:v>252320</c:v>
                </c:pt>
                <c:pt idx="4">
                  <c:v>423400</c:v>
                </c:pt>
                <c:pt idx="5">
                  <c:v>206000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8-4C3C-A70D-2D27B2EE9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5173620"/>
        <c:axId val="17877020"/>
      </c:barChart>
      <c:catAx>
        <c:axId val="651736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7020"/>
        <c:crosses val="autoZero"/>
        <c:auto val="1"/>
        <c:lblAlgn val="ctr"/>
        <c:lblOffset val="100"/>
        <c:noMultiLvlLbl val="0"/>
      </c:catAx>
      <c:valAx>
        <c:axId val="178770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736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Avg Hatchability % and Fertility % by Farm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Hatchability %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6"/>
              <c:pt idx="0">
                <c:v>Mokopane Layers</c:v>
              </c:pt>
              <c:pt idx="1">
                <c:v>Bela-Bela Agri</c:v>
              </c:pt>
              <c:pt idx="2">
                <c:v>Giyani Poultry</c:v>
              </c:pt>
              <c:pt idx="3">
                <c:v>Polokwane Hatchery Hub</c:v>
              </c:pt>
              <c:pt idx="4">
                <c:v>Lephalale Poultry Farm</c:v>
              </c:pt>
              <c:pt idx="5">
                <c:v>Tzaneen Breeder Farm</c:v>
              </c:pt>
            </c:strLit>
          </c:cat>
          <c:val>
            <c:numLit>
              <c:formatCode>General</c:formatCode>
              <c:ptCount val="6"/>
              <c:pt idx="0">
                <c:v>90.504594122973671</c:v>
              </c:pt>
              <c:pt idx="1">
                <c:v>91.064824662186723</c:v>
              </c:pt>
              <c:pt idx="2">
                <c:v>91.56477521087254</c:v>
              </c:pt>
              <c:pt idx="3">
                <c:v>91.718996109462324</c:v>
              </c:pt>
              <c:pt idx="4">
                <c:v>91.77136724921013</c:v>
              </c:pt>
              <c:pt idx="5">
                <c:v>91.860813987790294</c:v>
              </c:pt>
            </c:numLit>
          </c:val>
          <c:extLst>
            <c:ext xmlns:c16="http://schemas.microsoft.com/office/drawing/2014/chart" uri="{C3380CC4-5D6E-409C-BE32-E72D297353CC}">
              <c16:uniqueId val="{00000000-D78E-4385-8884-F9A26EF6F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047696"/>
        <c:axId val="1224049616"/>
      </c:barChart>
      <c:lineChart>
        <c:grouping val="standard"/>
        <c:varyColors val="0"/>
        <c:ser>
          <c:idx val="1"/>
          <c:order val="1"/>
          <c:tx>
            <c:v>Fertility %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6"/>
              <c:pt idx="0">
                <c:v>Mokopane Layers</c:v>
              </c:pt>
              <c:pt idx="1">
                <c:v>Bela-Bela Agri</c:v>
              </c:pt>
              <c:pt idx="2">
                <c:v>Giyani Poultry</c:v>
              </c:pt>
              <c:pt idx="3">
                <c:v>Polokwane Hatchery Hub</c:v>
              </c:pt>
              <c:pt idx="4">
                <c:v>Lephalale Poultry Farm</c:v>
              </c:pt>
              <c:pt idx="5">
                <c:v>Tzaneen Breeder Farm</c:v>
              </c:pt>
            </c:strLit>
          </c:cat>
          <c:val>
            <c:numLit>
              <c:formatCode>General</c:formatCode>
              <c:ptCount val="6"/>
              <c:pt idx="0">
                <c:v>94.4</c:v>
              </c:pt>
              <c:pt idx="1">
                <c:v>94.55</c:v>
              </c:pt>
              <c:pt idx="2">
                <c:v>94.263157894736835</c:v>
              </c:pt>
              <c:pt idx="3">
                <c:v>94.473684210526315</c:v>
              </c:pt>
              <c:pt idx="4">
                <c:v>95.142857142857139</c:v>
              </c:pt>
              <c:pt idx="5">
                <c:v>95.25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78E-4385-8884-F9A26EF6F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4047696"/>
        <c:axId val="1224049616"/>
      </c:lineChart>
      <c:catAx>
        <c:axId val="122404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49616"/>
        <c:crosses val="autoZero"/>
        <c:auto val="1"/>
        <c:lblAlgn val="ctr"/>
        <c:lblOffset val="100"/>
        <c:noMultiLvlLbl val="0"/>
      </c:catAx>
      <c:valAx>
        <c:axId val="122404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4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Monthly Hatchability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91.470139462633185</c:v>
              </c:pt>
              <c:pt idx="1">
                <c:v>91.179665409379609</c:v>
              </c:pt>
              <c:pt idx="2">
                <c:v>91.433007941714891</c:v>
              </c:pt>
              <c:pt idx="3">
                <c:v>91.476738244856719</c:v>
              </c:pt>
              <c:pt idx="4">
                <c:v>91.509655089983468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1A4-45E8-97D2-83C093BCB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4041456"/>
        <c:axId val="1224025136"/>
      </c:lineChart>
      <c:catAx>
        <c:axId val="122404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25136"/>
        <c:crosses val="autoZero"/>
        <c:auto val="1"/>
        <c:lblAlgn val="ctr"/>
        <c:lblOffset val="100"/>
        <c:noMultiLvlLbl val="0"/>
      </c:catAx>
      <c:valAx>
        <c:axId val="122402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4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185736</xdr:rowOff>
    </xdr:from>
    <xdr:to>
      <xdr:col>1</xdr:col>
      <xdr:colOff>597694</xdr:colOff>
      <xdr:row>8</xdr:row>
      <xdr:rowOff>23811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6F7C2C5-83BC-48CC-B9E9-283E9B75BA6D}"/>
            </a:ext>
          </a:extLst>
        </xdr:cNvPr>
        <xdr:cNvSpPr txBox="1"/>
      </xdr:nvSpPr>
      <xdr:spPr>
        <a:xfrm>
          <a:off x="0" y="757236"/>
          <a:ext cx="1204913" cy="790575"/>
        </a:xfrm>
        <a:prstGeom prst="rect">
          <a:avLst/>
        </a:prstGeom>
        <a:solidFill>
          <a:srgbClr val="A3DB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ZA" sz="1100" b="1" u="sng"/>
            <a:t>Total Eggs</a:t>
          </a:r>
          <a:r>
            <a:rPr lang="en-ZA" sz="1100" b="1" u="sng" baseline="0"/>
            <a:t> Set</a:t>
          </a:r>
          <a:endParaRPr lang="en-ZA" sz="1100" b="1" u="sng"/>
        </a:p>
        <a:p>
          <a:endParaRPr lang="en-ZA" sz="1100"/>
        </a:p>
        <a:p>
          <a:pPr algn="ctr"/>
          <a:r>
            <a:rPr lang="en-ZA" sz="1100" b="1"/>
            <a:t>2 208 000</a:t>
          </a:r>
        </a:p>
        <a:p>
          <a:pPr algn="ctr"/>
          <a:endParaRPr lang="en-ZA" sz="2000" b="1"/>
        </a:p>
      </xdr:txBody>
    </xdr:sp>
    <xdr:clientData/>
  </xdr:twoCellAnchor>
  <xdr:twoCellAnchor>
    <xdr:from>
      <xdr:col>0</xdr:col>
      <xdr:colOff>0</xdr:colOff>
      <xdr:row>28</xdr:row>
      <xdr:rowOff>0</xdr:rowOff>
    </xdr:from>
    <xdr:to>
      <xdr:col>1</xdr:col>
      <xdr:colOff>597694</xdr:colOff>
      <xdr:row>31</xdr:row>
      <xdr:rowOff>183356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545C468-1B6C-492C-A956-63BC469C0DD7}"/>
            </a:ext>
          </a:extLst>
        </xdr:cNvPr>
        <xdr:cNvSpPr txBox="1"/>
      </xdr:nvSpPr>
      <xdr:spPr>
        <a:xfrm>
          <a:off x="0" y="5334000"/>
          <a:ext cx="1204913" cy="754856"/>
        </a:xfrm>
        <a:prstGeom prst="rect">
          <a:avLst/>
        </a:prstGeom>
        <a:solidFill>
          <a:srgbClr val="A3DB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ZA" sz="1100" b="1" u="sng"/>
            <a:t>Bio</a:t>
          </a:r>
          <a:r>
            <a:rPr lang="en-ZA" sz="1100" b="1" u="sng" baseline="0"/>
            <a:t>security</a:t>
          </a:r>
          <a:endParaRPr lang="en-ZA" sz="1100" b="1" u="sng"/>
        </a:p>
        <a:p>
          <a:endParaRPr lang="en-ZA" sz="1100"/>
        </a:p>
        <a:p>
          <a:pPr algn="ctr"/>
          <a:r>
            <a:rPr lang="en-ZA" sz="1100" b="1"/>
            <a:t>3</a:t>
          </a:r>
        </a:p>
        <a:p>
          <a:pPr algn="ctr"/>
          <a:endParaRPr lang="en-ZA" sz="2000" b="1"/>
        </a:p>
      </xdr:txBody>
    </xdr:sp>
    <xdr:clientData/>
  </xdr:twoCellAnchor>
  <xdr:twoCellAnchor>
    <xdr:from>
      <xdr:col>0</xdr:col>
      <xdr:colOff>0</xdr:colOff>
      <xdr:row>23</xdr:row>
      <xdr:rowOff>188119</xdr:rowOff>
    </xdr:from>
    <xdr:to>
      <xdr:col>1</xdr:col>
      <xdr:colOff>597694</xdr:colOff>
      <xdr:row>27</xdr:row>
      <xdr:rowOff>180975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A58D609-7C1F-4EF6-A830-E0B6ECF1273C}"/>
            </a:ext>
          </a:extLst>
        </xdr:cNvPr>
        <xdr:cNvSpPr txBox="1"/>
      </xdr:nvSpPr>
      <xdr:spPr>
        <a:xfrm>
          <a:off x="0" y="4569619"/>
          <a:ext cx="1204913" cy="754856"/>
        </a:xfrm>
        <a:prstGeom prst="rect">
          <a:avLst/>
        </a:prstGeom>
        <a:solidFill>
          <a:srgbClr val="A3DB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ZA" sz="1100" b="1" u="sng"/>
            <a:t>Total</a:t>
          </a:r>
          <a:r>
            <a:rPr lang="en-ZA" sz="1100" b="1" u="sng" baseline="0"/>
            <a:t> Mortalities</a:t>
          </a:r>
          <a:endParaRPr lang="en-ZA" sz="1100" b="1" u="sng"/>
        </a:p>
        <a:p>
          <a:endParaRPr lang="en-ZA" sz="1100"/>
        </a:p>
        <a:p>
          <a:pPr algn="ctr"/>
          <a:r>
            <a:rPr lang="en-ZA" sz="1100" b="1"/>
            <a:t>1083</a:t>
          </a:r>
        </a:p>
        <a:p>
          <a:pPr algn="ctr"/>
          <a:endParaRPr lang="en-ZA" sz="2000" b="1"/>
        </a:p>
      </xdr:txBody>
    </xdr:sp>
    <xdr:clientData/>
  </xdr:twoCellAnchor>
  <xdr:twoCellAnchor>
    <xdr:from>
      <xdr:col>0</xdr:col>
      <xdr:colOff>0</xdr:colOff>
      <xdr:row>19</xdr:row>
      <xdr:rowOff>185738</xdr:rowOff>
    </xdr:from>
    <xdr:to>
      <xdr:col>1</xdr:col>
      <xdr:colOff>597694</xdr:colOff>
      <xdr:row>23</xdr:row>
      <xdr:rowOff>178594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4B8956B-2913-4E91-ADEE-08EC0B8A9813}"/>
            </a:ext>
          </a:extLst>
        </xdr:cNvPr>
        <xdr:cNvSpPr txBox="1"/>
      </xdr:nvSpPr>
      <xdr:spPr>
        <a:xfrm>
          <a:off x="0" y="3805238"/>
          <a:ext cx="1204913" cy="754856"/>
        </a:xfrm>
        <a:prstGeom prst="rect">
          <a:avLst/>
        </a:prstGeom>
        <a:solidFill>
          <a:srgbClr val="A3DB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ZA" sz="1100" b="1" u="sng"/>
            <a:t>1st</a:t>
          </a:r>
          <a:r>
            <a:rPr lang="en-ZA" sz="1100" b="1" u="sng" baseline="0"/>
            <a:t> Grade Chicks</a:t>
          </a:r>
          <a:endParaRPr lang="en-ZA" sz="1100" b="1" u="sng"/>
        </a:p>
        <a:p>
          <a:endParaRPr lang="en-ZA" sz="1100"/>
        </a:p>
        <a:p>
          <a:pPr algn="ctr"/>
          <a:r>
            <a:rPr lang="en-ZA" sz="1100" b="1"/>
            <a:t>1 870 020</a:t>
          </a:r>
        </a:p>
        <a:p>
          <a:pPr algn="ctr"/>
          <a:endParaRPr lang="en-ZA" sz="2000" b="1"/>
        </a:p>
      </xdr:txBody>
    </xdr:sp>
    <xdr:clientData/>
  </xdr:twoCellAnchor>
  <xdr:twoCellAnchor>
    <xdr:from>
      <xdr:col>0</xdr:col>
      <xdr:colOff>0</xdr:colOff>
      <xdr:row>16</xdr:row>
      <xdr:rowOff>4762</xdr:rowOff>
    </xdr:from>
    <xdr:to>
      <xdr:col>1</xdr:col>
      <xdr:colOff>597694</xdr:colOff>
      <xdr:row>19</xdr:row>
      <xdr:rowOff>188118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4FDFBAD-B617-4528-80AB-8330234FAF6E}"/>
            </a:ext>
          </a:extLst>
        </xdr:cNvPr>
        <xdr:cNvSpPr txBox="1"/>
      </xdr:nvSpPr>
      <xdr:spPr>
        <a:xfrm>
          <a:off x="0" y="3052762"/>
          <a:ext cx="1204913" cy="754856"/>
        </a:xfrm>
        <a:prstGeom prst="rect">
          <a:avLst/>
        </a:prstGeom>
        <a:solidFill>
          <a:srgbClr val="A3DBFF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ZA" sz="1100" b="1" u="sng"/>
            <a:t>Avg</a:t>
          </a:r>
          <a:r>
            <a:rPr lang="en-ZA" sz="1100" b="1" u="sng" baseline="0"/>
            <a:t> Fertility % </a:t>
          </a:r>
          <a:endParaRPr lang="en-ZA" sz="1100" b="1" u="sng"/>
        </a:p>
        <a:p>
          <a:endParaRPr lang="en-ZA" sz="1100"/>
        </a:p>
        <a:p>
          <a:pPr algn="ctr"/>
          <a:r>
            <a:rPr lang="en-ZA" sz="1100" b="1"/>
            <a:t>94,69</a:t>
          </a:r>
        </a:p>
        <a:p>
          <a:pPr algn="ctr"/>
          <a:endParaRPr lang="en-ZA" sz="2000" b="1"/>
        </a:p>
      </xdr:txBody>
    </xdr:sp>
    <xdr:clientData/>
  </xdr:twoCellAnchor>
  <xdr:twoCellAnchor>
    <xdr:from>
      <xdr:col>0</xdr:col>
      <xdr:colOff>0</xdr:colOff>
      <xdr:row>11</xdr:row>
      <xdr:rowOff>180975</xdr:rowOff>
    </xdr:from>
    <xdr:to>
      <xdr:col>1</xdr:col>
      <xdr:colOff>597694</xdr:colOff>
      <xdr:row>15</xdr:row>
      <xdr:rowOff>173831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24B65AA-4F53-424F-B9E0-9A670560D96E}"/>
            </a:ext>
          </a:extLst>
        </xdr:cNvPr>
        <xdr:cNvSpPr txBox="1"/>
      </xdr:nvSpPr>
      <xdr:spPr>
        <a:xfrm>
          <a:off x="0" y="2276475"/>
          <a:ext cx="1204913" cy="754856"/>
        </a:xfrm>
        <a:prstGeom prst="rect">
          <a:avLst/>
        </a:prstGeom>
        <a:solidFill>
          <a:srgbClr val="A3DB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ZA" sz="1100" b="1" u="sng"/>
            <a:t>Avg</a:t>
          </a:r>
          <a:r>
            <a:rPr lang="en-ZA" sz="1100" b="1" u="sng" baseline="0"/>
            <a:t> Hatchability %</a:t>
          </a:r>
          <a:endParaRPr lang="en-ZA" sz="1100" b="1" u="sng"/>
        </a:p>
        <a:p>
          <a:pPr algn="ctr"/>
          <a:r>
            <a:rPr lang="en-ZA" sz="1100" b="1"/>
            <a:t>91,41</a:t>
          </a:r>
        </a:p>
        <a:p>
          <a:endParaRPr lang="en-ZA" sz="1100"/>
        </a:p>
        <a:p>
          <a:pPr algn="ctr"/>
          <a:endParaRPr lang="en-ZA" sz="2000" b="1"/>
        </a:p>
      </xdr:txBody>
    </xdr:sp>
    <xdr:clientData/>
  </xdr:twoCellAnchor>
  <xdr:twoCellAnchor>
    <xdr:from>
      <xdr:col>0</xdr:col>
      <xdr:colOff>1</xdr:colOff>
      <xdr:row>8</xdr:row>
      <xdr:rowOff>11906</xdr:rowOff>
    </xdr:from>
    <xdr:to>
      <xdr:col>1</xdr:col>
      <xdr:colOff>597695</xdr:colOff>
      <xdr:row>12</xdr:row>
      <xdr:rowOff>4762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E6486E9-3A7A-4A9C-960F-9906B7EA7E7A}"/>
            </a:ext>
          </a:extLst>
        </xdr:cNvPr>
        <xdr:cNvSpPr txBox="1"/>
      </xdr:nvSpPr>
      <xdr:spPr>
        <a:xfrm>
          <a:off x="1" y="1535906"/>
          <a:ext cx="1204913" cy="754856"/>
        </a:xfrm>
        <a:prstGeom prst="rect">
          <a:avLst/>
        </a:prstGeom>
        <a:solidFill>
          <a:srgbClr val="A3DB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ZA" sz="1100" b="1" u="sng"/>
            <a:t>Total</a:t>
          </a:r>
          <a:r>
            <a:rPr lang="en-ZA" sz="1100" b="1" u="sng" baseline="0"/>
            <a:t> Chicks Hatched</a:t>
          </a:r>
          <a:endParaRPr lang="en-ZA" sz="1100" b="1" u="sng"/>
        </a:p>
        <a:p>
          <a:pPr algn="ctr"/>
          <a:r>
            <a:rPr lang="en-ZA" sz="1100" b="1"/>
            <a:t>1 911 520</a:t>
          </a:r>
        </a:p>
        <a:p>
          <a:endParaRPr lang="en-ZA" sz="1100"/>
        </a:p>
        <a:p>
          <a:pPr algn="ctr"/>
          <a:endParaRPr lang="en-ZA" sz="2000" b="1"/>
        </a:p>
      </xdr:txBody>
    </xdr:sp>
    <xdr:clientData/>
  </xdr:twoCellAnchor>
  <xdr:twoCellAnchor editAs="oneCell">
    <xdr:from>
      <xdr:col>2</xdr:col>
      <xdr:colOff>-1</xdr:colOff>
      <xdr:row>4</xdr:row>
      <xdr:rowOff>11906</xdr:rowOff>
    </xdr:from>
    <xdr:to>
      <xdr:col>12</xdr:col>
      <xdr:colOff>261937</xdr:colOff>
      <xdr:row>18</xdr:row>
      <xdr:rowOff>35718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B6CB9D0-4B80-4048-AA0C-BAF706052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83343</xdr:colOff>
      <xdr:row>18</xdr:row>
      <xdr:rowOff>95250</xdr:rowOff>
    </xdr:from>
    <xdr:to>
      <xdr:col>22</xdr:col>
      <xdr:colOff>607217</xdr:colOff>
      <xdr:row>32</xdr:row>
      <xdr:rowOff>2879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004EBA0-3AB0-45B5-9BD6-B03F850F97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333376</xdr:colOff>
      <xdr:row>4</xdr:row>
      <xdr:rowOff>11907</xdr:rowOff>
    </xdr:from>
    <xdr:to>
      <xdr:col>23</xdr:col>
      <xdr:colOff>0</xdr:colOff>
      <xdr:row>18</xdr:row>
      <xdr:rowOff>35719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575E0BC-57B4-413E-8905-0CE63E3E3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-1</xdr:colOff>
      <xdr:row>18</xdr:row>
      <xdr:rowOff>95250</xdr:rowOff>
    </xdr:from>
    <xdr:to>
      <xdr:col>8</xdr:col>
      <xdr:colOff>476250</xdr:colOff>
      <xdr:row>32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F042361-CAE0-4116-8AD0-9D1524ED3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583407</xdr:colOff>
      <xdr:row>18</xdr:row>
      <xdr:rowOff>95250</xdr:rowOff>
    </xdr:from>
    <xdr:to>
      <xdr:col>15</xdr:col>
      <xdr:colOff>595314</xdr:colOff>
      <xdr:row>32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2B2FF87D-3CCB-416A-B592-0F0E1D091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Limpopo_Poultry_Analytics.xlsx" TargetMode="External"/><Relationship Id="rId2" Type="http://schemas.openxmlformats.org/officeDocument/2006/relationships/externalLinkPath" Target="file:///C:\Users\MOLELE%20NGATE\Downloads\Limpopo_Poultry_Analytics.xlsx" TargetMode="External"/><Relationship Id="rId1" Type="http://schemas.openxmlformats.org/officeDocument/2006/relationships/externalLinkPath" Target="/Users/MOLELE%20NGATE/Downloads/Limpopo_Poultry_Analy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ChartData"/>
      <sheetName val="Analysis"/>
      <sheetName val="Pivot Tables"/>
      <sheetName val="Data Quality Report"/>
      <sheetName val="Cleaned Data"/>
      <sheetName val="Raw Data"/>
      <sheetName val="Dashboard"/>
    </sheetNames>
    <sheetDataSet>
      <sheetData sheetId="0">
        <row r="1">
          <cell r="B1" t="str">
            <v>Eggs Set</v>
          </cell>
          <cell r="C1" t="str">
            <v>Hatched</v>
          </cell>
          <cell r="H1" t="str">
            <v>Total Chicks</v>
          </cell>
          <cell r="K1" t="str">
            <v>Mortalities</v>
          </cell>
        </row>
        <row r="2">
          <cell r="A2" t="str">
            <v>Jan 2022</v>
          </cell>
          <cell r="B2">
            <v>446000</v>
          </cell>
          <cell r="C2">
            <v>386950</v>
          </cell>
          <cell r="F2" t="str">
            <v>Bela-Bela Agri</v>
          </cell>
          <cell r="H2">
            <v>310600</v>
          </cell>
          <cell r="J2" t="str">
            <v>Bela-Bela Agri</v>
          </cell>
          <cell r="K2">
            <v>216</v>
          </cell>
        </row>
        <row r="3">
          <cell r="A3" t="str">
            <v>Feb 2022</v>
          </cell>
          <cell r="B3">
            <v>446000</v>
          </cell>
          <cell r="C3">
            <v>382050</v>
          </cell>
          <cell r="F3" t="str">
            <v>Giyani Poultry</v>
          </cell>
          <cell r="H3">
            <v>304290</v>
          </cell>
          <cell r="J3" t="str">
            <v>Giyani Poultry</v>
          </cell>
          <cell r="K3">
            <v>172</v>
          </cell>
        </row>
        <row r="4">
          <cell r="A4" t="str">
            <v>Mar 2022</v>
          </cell>
          <cell r="B4">
            <v>444860</v>
          </cell>
          <cell r="C4">
            <v>371361</v>
          </cell>
          <cell r="F4" t="str">
            <v>Lephalale Poultry Farm</v>
          </cell>
          <cell r="H4">
            <v>376200</v>
          </cell>
          <cell r="J4" t="str">
            <v>Lephalale Poultry Farm</v>
          </cell>
          <cell r="K4">
            <v>210</v>
          </cell>
        </row>
        <row r="5">
          <cell r="A5" t="str">
            <v>Apr 2022</v>
          </cell>
          <cell r="B5">
            <v>446000</v>
          </cell>
          <cell r="C5">
            <v>386550</v>
          </cell>
          <cell r="F5" t="str">
            <v>Mokopane Layers</v>
          </cell>
          <cell r="H5">
            <v>252320</v>
          </cell>
          <cell r="J5" t="str">
            <v>Mokopane Layers</v>
          </cell>
          <cell r="K5">
            <v>123</v>
          </cell>
        </row>
        <row r="6">
          <cell r="A6" t="str">
            <v>May 2022</v>
          </cell>
          <cell r="B6">
            <v>446000</v>
          </cell>
          <cell r="C6">
            <v>387300</v>
          </cell>
          <cell r="F6" t="str">
            <v>Polokwane Hatchery Hub</v>
          </cell>
          <cell r="H6">
            <v>423400</v>
          </cell>
          <cell r="J6" t="str">
            <v>Polokwane Hatchery Hub</v>
          </cell>
          <cell r="K6">
            <v>276</v>
          </cell>
        </row>
        <row r="7">
          <cell r="F7" t="str">
            <v>Tzaneen Breeder Farm</v>
          </cell>
          <cell r="H7">
            <v>206000</v>
          </cell>
          <cell r="J7" t="str">
            <v>Tzaneen Breeder Farm</v>
          </cell>
          <cell r="K7">
            <v>86</v>
          </cell>
        </row>
      </sheetData>
      <sheetData sheetId="1"/>
      <sheetData sheetId="2"/>
      <sheetData sheetId="3"/>
      <sheetData sheetId="4">
        <row r="2">
          <cell r="A2" t="str">
            <v>2022-01-07</v>
          </cell>
          <cell r="O2">
            <v>15500</v>
          </cell>
          <cell r="V2">
            <v>8</v>
          </cell>
        </row>
        <row r="3">
          <cell r="A3" t="str">
            <v>2022-01-07</v>
          </cell>
          <cell r="O3">
            <v>16000</v>
          </cell>
          <cell r="V3">
            <v>10</v>
          </cell>
        </row>
        <row r="4">
          <cell r="A4" t="str">
            <v>2022-01-07</v>
          </cell>
          <cell r="O4">
            <v>18800</v>
          </cell>
          <cell r="V4">
            <v>12</v>
          </cell>
        </row>
        <row r="5">
          <cell r="A5" t="str">
            <v>2022-01-07</v>
          </cell>
          <cell r="O5">
            <v>12600</v>
          </cell>
          <cell r="V5">
            <v>6</v>
          </cell>
        </row>
        <row r="6">
          <cell r="A6" t="str">
            <v>2022-01-07</v>
          </cell>
          <cell r="O6">
            <v>21100</v>
          </cell>
          <cell r="V6">
            <v>15</v>
          </cell>
        </row>
        <row r="7">
          <cell r="A7" t="str">
            <v>2022-01-07</v>
          </cell>
          <cell r="O7">
            <v>10300</v>
          </cell>
          <cell r="V7">
            <v>5</v>
          </cell>
        </row>
        <row r="8">
          <cell r="A8" t="str">
            <v>2022-01-14</v>
          </cell>
          <cell r="O8">
            <v>15400</v>
          </cell>
          <cell r="V8">
            <v>11</v>
          </cell>
        </row>
        <row r="9">
          <cell r="A9" t="str">
            <v>2022-01-14</v>
          </cell>
          <cell r="O9">
            <v>15900</v>
          </cell>
          <cell r="V9">
            <v>8</v>
          </cell>
        </row>
        <row r="10">
          <cell r="A10" t="str">
            <v>2022-01-14</v>
          </cell>
          <cell r="O10">
            <v>19000</v>
          </cell>
          <cell r="V10">
            <v>9</v>
          </cell>
        </row>
        <row r="11">
          <cell r="A11" t="str">
            <v>2022-01-14</v>
          </cell>
          <cell r="O11">
            <v>12750</v>
          </cell>
          <cell r="V11">
            <v>4</v>
          </cell>
        </row>
        <row r="12">
          <cell r="A12" t="str">
            <v>2022-01-14</v>
          </cell>
          <cell r="O12">
            <v>21300</v>
          </cell>
          <cell r="V12">
            <v>13</v>
          </cell>
        </row>
        <row r="13">
          <cell r="A13" t="str">
            <v>2022-01-14</v>
          </cell>
          <cell r="O13">
            <v>10400</v>
          </cell>
          <cell r="V13">
            <v>4</v>
          </cell>
        </row>
        <row r="14">
          <cell r="A14" t="str">
            <v>2022-01-21</v>
          </cell>
          <cell r="O14">
            <v>15200</v>
          </cell>
          <cell r="V14">
            <v>13</v>
          </cell>
        </row>
        <row r="15">
          <cell r="A15" t="str">
            <v>2022-01-21</v>
          </cell>
          <cell r="O15">
            <v>15700</v>
          </cell>
          <cell r="V15">
            <v>12</v>
          </cell>
        </row>
        <row r="16">
          <cell r="A16" t="str">
            <v>2022-01-21</v>
          </cell>
          <cell r="O16">
            <v>18500</v>
          </cell>
          <cell r="V16">
            <v>14</v>
          </cell>
        </row>
        <row r="17">
          <cell r="A17" t="str">
            <v>2022-01-21</v>
          </cell>
          <cell r="O17">
            <v>12400</v>
          </cell>
          <cell r="V17">
            <v>7</v>
          </cell>
        </row>
        <row r="18">
          <cell r="A18" t="str">
            <v>2022-01-21</v>
          </cell>
          <cell r="O18">
            <v>21000</v>
          </cell>
          <cell r="V18">
            <v>16</v>
          </cell>
        </row>
        <row r="19">
          <cell r="A19" t="str">
            <v>2022-01-21</v>
          </cell>
          <cell r="O19">
            <v>10100</v>
          </cell>
          <cell r="V19">
            <v>6</v>
          </cell>
        </row>
        <row r="20">
          <cell r="A20" t="str">
            <v>2022-01-28</v>
          </cell>
          <cell r="O20">
            <v>16000</v>
          </cell>
          <cell r="V20">
            <v>7</v>
          </cell>
        </row>
        <row r="21">
          <cell r="A21" t="str">
            <v>2022-01-28</v>
          </cell>
          <cell r="O21">
            <v>16500</v>
          </cell>
          <cell r="V21">
            <v>7</v>
          </cell>
        </row>
        <row r="22">
          <cell r="A22" t="str">
            <v>2022-01-28</v>
          </cell>
          <cell r="O22">
            <v>19100</v>
          </cell>
          <cell r="V22">
            <v>8</v>
          </cell>
        </row>
        <row r="23">
          <cell r="A23" t="str">
            <v>2022-01-28</v>
          </cell>
          <cell r="O23">
            <v>12900</v>
          </cell>
          <cell r="V23">
            <v>5</v>
          </cell>
        </row>
        <row r="24">
          <cell r="A24" t="str">
            <v>2022-01-28</v>
          </cell>
          <cell r="O24">
            <v>21600</v>
          </cell>
          <cell r="V24">
            <v>11</v>
          </cell>
        </row>
        <row r="25">
          <cell r="A25" t="str">
            <v>2022-01-28</v>
          </cell>
          <cell r="O25">
            <v>10500</v>
          </cell>
          <cell r="V25">
            <v>3</v>
          </cell>
        </row>
        <row r="26">
          <cell r="A26" t="str">
            <v>2022-02-04</v>
          </cell>
          <cell r="O26">
            <v>14800</v>
          </cell>
          <cell r="V26">
            <v>22</v>
          </cell>
        </row>
        <row r="27">
          <cell r="A27" t="str">
            <v>2022-02-04</v>
          </cell>
          <cell r="O27">
            <v>15400</v>
          </cell>
          <cell r="V27">
            <v>15</v>
          </cell>
        </row>
        <row r="28">
          <cell r="A28" t="str">
            <v>2022-02-04</v>
          </cell>
          <cell r="O28">
            <v>18300</v>
          </cell>
          <cell r="V28">
            <v>18</v>
          </cell>
        </row>
        <row r="29">
          <cell r="A29" t="str">
            <v>2022-02-04</v>
          </cell>
          <cell r="O29">
            <v>12200</v>
          </cell>
          <cell r="V29">
            <v>9</v>
          </cell>
        </row>
        <row r="30">
          <cell r="A30" t="str">
            <v>2022-02-04</v>
          </cell>
          <cell r="O30">
            <v>20700</v>
          </cell>
          <cell r="V30">
            <v>20</v>
          </cell>
        </row>
        <row r="31">
          <cell r="A31" t="str">
            <v>2022-02-04</v>
          </cell>
          <cell r="O31">
            <v>10000</v>
          </cell>
          <cell r="V31">
            <v>8</v>
          </cell>
        </row>
        <row r="32">
          <cell r="A32" t="str">
            <v>2022-02-11</v>
          </cell>
          <cell r="O32">
            <v>15400</v>
          </cell>
          <cell r="V32">
            <v>10</v>
          </cell>
        </row>
        <row r="33">
          <cell r="A33" t="str">
            <v>2022-02-11</v>
          </cell>
          <cell r="O33">
            <v>15900</v>
          </cell>
          <cell r="V33">
            <v>9</v>
          </cell>
        </row>
        <row r="34">
          <cell r="A34" t="str">
            <v>2022-02-11</v>
          </cell>
          <cell r="O34">
            <v>18700</v>
          </cell>
          <cell r="V34">
            <v>11</v>
          </cell>
        </row>
        <row r="35">
          <cell r="A35" t="str">
            <v>2022-02-11</v>
          </cell>
          <cell r="O35">
            <v>12550</v>
          </cell>
          <cell r="V35">
            <v>6</v>
          </cell>
        </row>
        <row r="36">
          <cell r="A36" t="str">
            <v>2022-02-11</v>
          </cell>
          <cell r="O36">
            <v>21100</v>
          </cell>
          <cell r="V36">
            <v>14</v>
          </cell>
        </row>
        <row r="37">
          <cell r="A37" t="str">
            <v>2022-02-11</v>
          </cell>
          <cell r="O37">
            <v>10300</v>
          </cell>
          <cell r="V37">
            <v>4</v>
          </cell>
        </row>
        <row r="38">
          <cell r="A38" t="str">
            <v>2022-02-18</v>
          </cell>
          <cell r="O38">
            <v>15600</v>
          </cell>
          <cell r="V38">
            <v>9</v>
          </cell>
        </row>
        <row r="39">
          <cell r="A39" t="str">
            <v>2022-02-18</v>
          </cell>
          <cell r="O39">
            <v>16200</v>
          </cell>
          <cell r="V39">
            <v>7</v>
          </cell>
        </row>
        <row r="40">
          <cell r="A40" t="str">
            <v>2022-02-18</v>
          </cell>
          <cell r="O40">
            <v>19000</v>
          </cell>
          <cell r="V40">
            <v>8</v>
          </cell>
        </row>
        <row r="41">
          <cell r="A41" t="str">
            <v>2022-02-18</v>
          </cell>
          <cell r="O41">
            <v>12700</v>
          </cell>
          <cell r="V41">
            <v>5</v>
          </cell>
        </row>
        <row r="42">
          <cell r="A42" t="str">
            <v>2022-02-18</v>
          </cell>
          <cell r="O42">
            <v>21300</v>
          </cell>
          <cell r="V42">
            <v>12</v>
          </cell>
        </row>
        <row r="43">
          <cell r="A43" t="str">
            <v>2022-02-18</v>
          </cell>
          <cell r="O43">
            <v>10400</v>
          </cell>
          <cell r="V43">
            <v>3</v>
          </cell>
        </row>
        <row r="44">
          <cell r="A44" t="str">
            <v>2022-02-25</v>
          </cell>
          <cell r="O44">
            <v>15300</v>
          </cell>
          <cell r="V44">
            <v>14</v>
          </cell>
        </row>
        <row r="45">
          <cell r="A45" t="str">
            <v>2022-02-25</v>
          </cell>
          <cell r="O45">
            <v>15700</v>
          </cell>
          <cell r="V45">
            <v>11</v>
          </cell>
        </row>
        <row r="46">
          <cell r="A46" t="str">
            <v>2022-02-25</v>
          </cell>
          <cell r="O46">
            <v>18500</v>
          </cell>
          <cell r="V46">
            <v>13</v>
          </cell>
        </row>
        <row r="47">
          <cell r="A47" t="str">
            <v>2022-02-25</v>
          </cell>
          <cell r="O47">
            <v>12500</v>
          </cell>
          <cell r="V47">
            <v>8</v>
          </cell>
        </row>
        <row r="48">
          <cell r="A48" t="str">
            <v>2022-02-25</v>
          </cell>
          <cell r="O48">
            <v>21000</v>
          </cell>
          <cell r="V48">
            <v>15</v>
          </cell>
        </row>
        <row r="49">
          <cell r="A49" t="str">
            <v>2022-02-25</v>
          </cell>
          <cell r="O49">
            <v>10100</v>
          </cell>
          <cell r="V49">
            <v>5</v>
          </cell>
        </row>
        <row r="50">
          <cell r="A50" t="str">
            <v>2022-03-04</v>
          </cell>
          <cell r="O50">
            <v>16000</v>
          </cell>
          <cell r="V50">
            <v>8</v>
          </cell>
        </row>
        <row r="51">
          <cell r="A51" t="str">
            <v>2022-03-04</v>
          </cell>
          <cell r="O51">
            <v>16500</v>
          </cell>
          <cell r="V51">
            <v>7</v>
          </cell>
        </row>
        <row r="52">
          <cell r="A52" t="str">
            <v>2022-03-04</v>
          </cell>
          <cell r="O52">
            <v>19000</v>
          </cell>
          <cell r="V52">
            <v>9</v>
          </cell>
        </row>
        <row r="53">
          <cell r="A53" t="str">
            <v>2022-03-04</v>
          </cell>
          <cell r="O53">
            <v>12850</v>
          </cell>
          <cell r="V53">
            <v>5</v>
          </cell>
        </row>
        <row r="54">
          <cell r="A54" t="str">
            <v>2022-03-04</v>
          </cell>
          <cell r="O54">
            <v>21500</v>
          </cell>
          <cell r="V54">
            <v>10</v>
          </cell>
        </row>
        <row r="55">
          <cell r="A55" t="str">
            <v>2022-03-04</v>
          </cell>
          <cell r="O55">
            <v>10500</v>
          </cell>
          <cell r="V55">
            <v>3</v>
          </cell>
        </row>
        <row r="56">
          <cell r="A56" t="str">
            <v>2022-03-11</v>
          </cell>
          <cell r="O56">
            <v>15100</v>
          </cell>
          <cell r="V56">
            <v>19</v>
          </cell>
        </row>
        <row r="57">
          <cell r="A57" t="str">
            <v>2022-03-11</v>
          </cell>
          <cell r="O57">
            <v>15900</v>
          </cell>
          <cell r="V57">
            <v>10</v>
          </cell>
        </row>
        <row r="58">
          <cell r="A58" t="str">
            <v>2022-03-11</v>
          </cell>
          <cell r="O58">
            <v>18700</v>
          </cell>
          <cell r="V58">
            <v>14</v>
          </cell>
        </row>
        <row r="59">
          <cell r="A59" t="str">
            <v>2022-03-11</v>
          </cell>
          <cell r="O59">
            <v>12300</v>
          </cell>
          <cell r="V59">
            <v>10</v>
          </cell>
        </row>
        <row r="60">
          <cell r="A60" t="str">
            <v>2022-03-11</v>
          </cell>
          <cell r="O60">
            <v>21100</v>
          </cell>
          <cell r="V60">
            <v>16</v>
          </cell>
        </row>
        <row r="61">
          <cell r="A61" t="str">
            <v>2022-03-11</v>
          </cell>
          <cell r="O61">
            <v>10300</v>
          </cell>
          <cell r="V61">
            <v>5</v>
          </cell>
        </row>
        <row r="62">
          <cell r="A62" t="str">
            <v>2022-03-18</v>
          </cell>
          <cell r="O62">
            <v>15600</v>
          </cell>
          <cell r="V62">
            <v>8</v>
          </cell>
        </row>
        <row r="63">
          <cell r="A63" t="str">
            <v>2022-03-18</v>
          </cell>
          <cell r="O63">
            <v>16200</v>
          </cell>
          <cell r="V63">
            <v>7</v>
          </cell>
        </row>
        <row r="64">
          <cell r="A64" t="str">
            <v>2022-03-18</v>
          </cell>
          <cell r="O64">
            <v>19000</v>
          </cell>
          <cell r="V64">
            <v>8</v>
          </cell>
        </row>
        <row r="65">
          <cell r="A65" t="str">
            <v>2022-03-18</v>
          </cell>
          <cell r="O65">
            <v>12720</v>
          </cell>
          <cell r="V65">
            <v>5</v>
          </cell>
        </row>
        <row r="66">
          <cell r="A66" t="str">
            <v>2022-03-18</v>
          </cell>
          <cell r="O66">
            <v>21300</v>
          </cell>
          <cell r="V66">
            <v>11</v>
          </cell>
        </row>
        <row r="67">
          <cell r="A67" t="str">
            <v>2022-03-18</v>
          </cell>
          <cell r="O67">
            <v>10400</v>
          </cell>
          <cell r="V67">
            <v>3</v>
          </cell>
        </row>
        <row r="68">
          <cell r="A68" t="str">
            <v>2022-03-25</v>
          </cell>
          <cell r="O68">
            <v>15500</v>
          </cell>
          <cell r="V68">
            <v>9</v>
          </cell>
        </row>
        <row r="69">
          <cell r="A69" t="str">
            <v>2022-03-25</v>
          </cell>
          <cell r="O69">
            <v>290</v>
          </cell>
          <cell r="V69"/>
        </row>
        <row r="70">
          <cell r="A70" t="str">
            <v>2022-03-25</v>
          </cell>
          <cell r="O70">
            <v>18800</v>
          </cell>
          <cell r="V70">
            <v>10</v>
          </cell>
        </row>
        <row r="71">
          <cell r="A71" t="str">
            <v>2022-03-25</v>
          </cell>
          <cell r="O71">
            <v>12600</v>
          </cell>
          <cell r="V71">
            <v>6</v>
          </cell>
        </row>
        <row r="72">
          <cell r="A72" t="str">
            <v>2022-03-25</v>
          </cell>
          <cell r="O72">
            <v>21100</v>
          </cell>
          <cell r="V72">
            <v>13</v>
          </cell>
        </row>
        <row r="73">
          <cell r="A73" t="str">
            <v>2022-03-25</v>
          </cell>
          <cell r="O73">
            <v>10300</v>
          </cell>
          <cell r="V73">
            <v>4</v>
          </cell>
        </row>
        <row r="74">
          <cell r="A74" t="str">
            <v>2022-04-08</v>
          </cell>
          <cell r="O74">
            <v>16100</v>
          </cell>
          <cell r="V74">
            <v>6</v>
          </cell>
        </row>
        <row r="75">
          <cell r="A75" t="str">
            <v>2022-04-08</v>
          </cell>
          <cell r="O75">
            <v>16500</v>
          </cell>
          <cell r="V75">
            <v>6</v>
          </cell>
        </row>
        <row r="76">
          <cell r="A76" t="str">
            <v>2022-04-08</v>
          </cell>
          <cell r="O76">
            <v>19100</v>
          </cell>
          <cell r="V76">
            <v>7</v>
          </cell>
        </row>
        <row r="77">
          <cell r="A77" t="str">
            <v>2022-04-08</v>
          </cell>
          <cell r="O77">
            <v>12900</v>
          </cell>
          <cell r="V77">
            <v>4</v>
          </cell>
        </row>
        <row r="78">
          <cell r="A78" t="str">
            <v>2022-04-08</v>
          </cell>
          <cell r="O78">
            <v>21600</v>
          </cell>
          <cell r="V78">
            <v>10</v>
          </cell>
        </row>
        <row r="79">
          <cell r="A79" t="str">
            <v>2022-04-08</v>
          </cell>
          <cell r="O79">
            <v>10500</v>
          </cell>
          <cell r="V79">
            <v>3</v>
          </cell>
        </row>
        <row r="80">
          <cell r="A80" t="str">
            <v>2022-04-15</v>
          </cell>
          <cell r="O80">
            <v>15200</v>
          </cell>
          <cell r="V80">
            <v>15</v>
          </cell>
        </row>
        <row r="81">
          <cell r="A81" t="str">
            <v>2022-04-15</v>
          </cell>
          <cell r="O81">
            <v>15300</v>
          </cell>
          <cell r="V81">
            <v>14</v>
          </cell>
        </row>
        <row r="82">
          <cell r="A82" t="str">
            <v>2022-04-15</v>
          </cell>
          <cell r="O82">
            <v>18500</v>
          </cell>
          <cell r="V82">
            <v>12</v>
          </cell>
        </row>
        <row r="83">
          <cell r="A83" t="str">
            <v>2022-04-15</v>
          </cell>
          <cell r="O83">
            <v>12350</v>
          </cell>
          <cell r="V83">
            <v>8</v>
          </cell>
        </row>
        <row r="84">
          <cell r="A84" t="str">
            <v>2022-04-15</v>
          </cell>
          <cell r="O84">
            <v>20600</v>
          </cell>
          <cell r="V84">
            <v>21</v>
          </cell>
        </row>
        <row r="85">
          <cell r="A85" t="str">
            <v>2022-04-15</v>
          </cell>
          <cell r="O85">
            <v>10000</v>
          </cell>
          <cell r="V85">
            <v>6</v>
          </cell>
        </row>
        <row r="86">
          <cell r="A86" t="str">
            <v>2022-04-22</v>
          </cell>
          <cell r="O86">
            <v>15600</v>
          </cell>
          <cell r="V86">
            <v>9</v>
          </cell>
        </row>
        <row r="87">
          <cell r="A87" t="str">
            <v>2022-04-22</v>
          </cell>
          <cell r="O87">
            <v>16200</v>
          </cell>
          <cell r="V87">
            <v>7</v>
          </cell>
        </row>
        <row r="88">
          <cell r="A88" t="str">
            <v>2022-04-22</v>
          </cell>
          <cell r="O88">
            <v>19000</v>
          </cell>
          <cell r="V88">
            <v>8</v>
          </cell>
        </row>
        <row r="89">
          <cell r="A89" t="str">
            <v>2022-04-22</v>
          </cell>
          <cell r="O89">
            <v>12700</v>
          </cell>
          <cell r="V89">
            <v>5</v>
          </cell>
        </row>
        <row r="90">
          <cell r="A90" t="str">
            <v>2022-04-22</v>
          </cell>
          <cell r="O90">
            <v>21300</v>
          </cell>
          <cell r="V90">
            <v>12</v>
          </cell>
        </row>
        <row r="91">
          <cell r="A91" t="str">
            <v>2022-04-22</v>
          </cell>
          <cell r="O91">
            <v>10400</v>
          </cell>
          <cell r="V91">
            <v>3</v>
          </cell>
        </row>
        <row r="92">
          <cell r="A92" t="str">
            <v>2022-04-29</v>
          </cell>
          <cell r="O92">
            <v>15500</v>
          </cell>
          <cell r="V92">
            <v>10</v>
          </cell>
        </row>
        <row r="93">
          <cell r="A93" t="str">
            <v>2022-04-29</v>
          </cell>
          <cell r="O93">
            <v>16000</v>
          </cell>
          <cell r="V93">
            <v>8</v>
          </cell>
        </row>
        <row r="94">
          <cell r="A94" t="str">
            <v>2022-04-29</v>
          </cell>
          <cell r="O94">
            <v>18800</v>
          </cell>
          <cell r="V94">
            <v>11</v>
          </cell>
        </row>
        <row r="95">
          <cell r="A95" t="str">
            <v>2022-04-29</v>
          </cell>
          <cell r="O95">
            <v>12600</v>
          </cell>
          <cell r="V95">
            <v>6</v>
          </cell>
        </row>
        <row r="96">
          <cell r="A96" t="str">
            <v>2022-04-29</v>
          </cell>
          <cell r="O96">
            <v>21100</v>
          </cell>
          <cell r="V96">
            <v>14</v>
          </cell>
        </row>
        <row r="97">
          <cell r="A97" t="str">
            <v>2022-04-29</v>
          </cell>
          <cell r="O97">
            <v>10300</v>
          </cell>
          <cell r="V97">
            <v>4</v>
          </cell>
        </row>
        <row r="98">
          <cell r="A98" t="str">
            <v>2022-05-06</v>
          </cell>
          <cell r="O98">
            <v>16000</v>
          </cell>
          <cell r="V98">
            <v>7</v>
          </cell>
        </row>
        <row r="99">
          <cell r="A99" t="str">
            <v>2022-05-06</v>
          </cell>
          <cell r="O99">
            <v>16200</v>
          </cell>
          <cell r="V99">
            <v>7</v>
          </cell>
        </row>
        <row r="100">
          <cell r="A100" t="str">
            <v>2022-05-06</v>
          </cell>
          <cell r="O100">
            <v>19000</v>
          </cell>
          <cell r="V100">
            <v>8</v>
          </cell>
        </row>
        <row r="101">
          <cell r="A101" t="str">
            <v>2022-05-06</v>
          </cell>
          <cell r="O101">
            <v>12850</v>
          </cell>
          <cell r="V101">
            <v>5</v>
          </cell>
        </row>
        <row r="102">
          <cell r="A102" t="str">
            <v>2022-05-06</v>
          </cell>
          <cell r="O102">
            <v>21300</v>
          </cell>
          <cell r="V102">
            <v>11</v>
          </cell>
        </row>
        <row r="103">
          <cell r="A103" t="str">
            <v>2022-05-06</v>
          </cell>
          <cell r="O103">
            <v>10400</v>
          </cell>
          <cell r="V103">
            <v>3</v>
          </cell>
        </row>
        <row r="104">
          <cell r="A104" t="str">
            <v>2022-05-13</v>
          </cell>
          <cell r="O104">
            <v>15200</v>
          </cell>
          <cell r="V104">
            <v>16</v>
          </cell>
        </row>
        <row r="105">
          <cell r="A105" t="str">
            <v>2022-05-13</v>
          </cell>
          <cell r="O105">
            <v>15400</v>
          </cell>
          <cell r="V105">
            <v>13</v>
          </cell>
        </row>
        <row r="106">
          <cell r="A106" t="str">
            <v>2022-05-13</v>
          </cell>
          <cell r="O106">
            <v>18500</v>
          </cell>
          <cell r="V106">
            <v>13</v>
          </cell>
        </row>
        <row r="107">
          <cell r="A107" t="str">
            <v>2022-05-13</v>
          </cell>
          <cell r="O107">
            <v>12350</v>
          </cell>
          <cell r="V107">
            <v>9</v>
          </cell>
        </row>
        <row r="108">
          <cell r="A108" t="str">
            <v>2022-05-13</v>
          </cell>
          <cell r="O108">
            <v>20700</v>
          </cell>
          <cell r="V108">
            <v>19</v>
          </cell>
        </row>
        <row r="109">
          <cell r="A109" t="str">
            <v>2022-05-13</v>
          </cell>
          <cell r="O109">
            <v>10000</v>
          </cell>
          <cell r="V109">
            <v>7</v>
          </cell>
        </row>
        <row r="110">
          <cell r="A110" t="str">
            <v>2022-05-20</v>
          </cell>
          <cell r="O110">
            <v>16100</v>
          </cell>
          <cell r="V110">
            <v>6</v>
          </cell>
        </row>
        <row r="111">
          <cell r="A111" t="str">
            <v>2022-05-20</v>
          </cell>
          <cell r="O111">
            <v>16500</v>
          </cell>
          <cell r="V111">
            <v>6</v>
          </cell>
        </row>
        <row r="112">
          <cell r="A112" t="str">
            <v>2022-05-20</v>
          </cell>
          <cell r="O112">
            <v>19100</v>
          </cell>
          <cell r="V112">
            <v>7</v>
          </cell>
        </row>
        <row r="113">
          <cell r="A113" t="str">
            <v>2022-05-20</v>
          </cell>
          <cell r="O113">
            <v>12900</v>
          </cell>
          <cell r="V113">
            <v>4</v>
          </cell>
        </row>
        <row r="114">
          <cell r="A114" t="str">
            <v>2022-05-20</v>
          </cell>
          <cell r="O114">
            <v>21600</v>
          </cell>
          <cell r="V114">
            <v>10</v>
          </cell>
        </row>
        <row r="115">
          <cell r="A115" t="str">
            <v>2022-05-20</v>
          </cell>
          <cell r="O115">
            <v>10500</v>
          </cell>
          <cell r="V115">
            <v>3</v>
          </cell>
        </row>
        <row r="116">
          <cell r="A116" t="str">
            <v>2022-05-27</v>
          </cell>
          <cell r="O116">
            <v>15500</v>
          </cell>
          <cell r="V116">
            <v>9</v>
          </cell>
        </row>
        <row r="117">
          <cell r="A117" t="str">
            <v>2022-05-27</v>
          </cell>
          <cell r="O117">
            <v>16000</v>
          </cell>
          <cell r="V117">
            <v>8</v>
          </cell>
        </row>
        <row r="118">
          <cell r="A118" t="str">
            <v>2022-05-27</v>
          </cell>
          <cell r="O118">
            <v>18800</v>
          </cell>
          <cell r="V118">
            <v>10</v>
          </cell>
        </row>
        <row r="119">
          <cell r="A119" t="str">
            <v>2022-05-27</v>
          </cell>
          <cell r="O119">
            <v>12600</v>
          </cell>
          <cell r="V119">
            <v>6</v>
          </cell>
        </row>
        <row r="120">
          <cell r="A120" t="str">
            <v>2022-05-27</v>
          </cell>
          <cell r="O120">
            <v>21100</v>
          </cell>
          <cell r="V120">
            <v>13</v>
          </cell>
        </row>
        <row r="121">
          <cell r="A121" t="str">
            <v>2022-05-27</v>
          </cell>
          <cell r="O121">
            <v>10300</v>
          </cell>
          <cell r="V121">
            <v>4</v>
          </cell>
        </row>
      </sheetData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LELE NGATE" refreshedDate="46226.541021759258" createdVersion="8" refreshedVersion="8" minRefreshableVersion="3" recordCount="118" xr:uid="{2CCBB980-5F6E-4BB0-9DB2-A63F44A62C32}">
  <cacheSource type="worksheet">
    <worksheetSource name="Limpopo_poultry_hatchery_production_RAW3"/>
  </cacheSource>
  <cacheFields count="31">
    <cacheField name="Week_Ending" numFmtId="165">
      <sharedItems containsSemiMixedTypes="0" containsNonDate="0" containsDate="1" containsString="0" minDate="2022-01-07T00:00:00" maxDate="2022-05-28T00:00:00" count="20">
        <d v="2022-01-07T00:00:00"/>
        <d v="2022-01-14T00:00:00"/>
        <d v="2022-01-21T00:00:00"/>
        <d v="2022-01-28T00:00:00"/>
        <d v="2022-02-04T00:00:00"/>
        <d v="2022-02-11T00:00:00"/>
        <d v="2022-02-18T00:00:00"/>
        <d v="2022-02-25T00:00:00"/>
        <d v="2022-03-04T00:00:00"/>
        <d v="2022-03-11T00:00:00"/>
        <d v="2022-03-18T00:00:00"/>
        <d v="2022-03-25T00:00:00"/>
        <d v="2022-04-08T00:00:00"/>
        <d v="2022-04-15T00:00:00"/>
        <d v="2022-04-22T00:00:00"/>
        <d v="2022-04-29T00:00:00"/>
        <d v="2022-05-06T00:00:00"/>
        <d v="2022-05-13T00:00:00"/>
        <d v="2022-05-20T00:00:00"/>
        <d v="2022-05-27T00:00:00"/>
      </sharedItems>
      <fieldGroup par="30"/>
    </cacheField>
    <cacheField name="Month" numFmtId="165">
      <sharedItems count="5">
        <s v="Jan"/>
        <s v="Feb"/>
        <s v="Mar"/>
        <s v="Apr"/>
        <s v="May"/>
      </sharedItems>
    </cacheField>
    <cacheField name="Quarter" numFmtId="165">
      <sharedItems count="2">
        <s v="Q1"/>
        <s v="Q2"/>
      </sharedItems>
    </cacheField>
    <cacheField name="Farm_Name" numFmtId="0">
      <sharedItems count="6">
        <s v="Lephalale Poultry Farm"/>
        <s v="Bela-Bela Agri"/>
        <s v="Mokopane Layers"/>
        <s v="Polokwane Hatchery Hub"/>
        <s v="Tzaneen Breeder Farm"/>
        <s v="Giyani Poultry"/>
      </sharedItems>
    </cacheField>
    <cacheField name="Farm_Type" numFmtId="0">
      <sharedItems count="3">
        <s v="Broiler"/>
        <s v="Layer"/>
        <s v="Breeder"/>
      </sharedItems>
    </cacheField>
    <cacheField name="District" numFmtId="0">
      <sharedItems/>
    </cacheField>
    <cacheField name="Municipality" numFmtId="0">
      <sharedItems/>
    </cacheField>
    <cacheField name="Flock_ID" numFmtId="0">
      <sharedItems/>
    </cacheField>
    <cacheField name="Breed" numFmtId="0">
      <sharedItems/>
    </cacheField>
    <cacheField name="Eggs_Set" numFmtId="0">
      <sharedItems containsSemiMixedTypes="0" containsString="0" containsNumber="1" containsInteger="1" minValue="12000" maxValue="25000"/>
    </cacheField>
    <cacheField name="Eggs_Fertile" numFmtId="2">
      <sharedItems containsMixedTypes="1" containsNumber="1" containsInteger="1" minValue="23500" maxValue="23500"/>
    </cacheField>
    <cacheField name="Fertility_Rate_Pct" numFmtId="2">
      <sharedItems containsSemiMixedTypes="0" containsString="0" containsNumber="1" containsInteger="1" minValue="91" maxValue="97"/>
    </cacheField>
    <cacheField name="Eggs_Hatched" numFmtId="0">
      <sharedItems containsSemiMixedTypes="0" containsString="0" containsNumber="1" containsInteger="1" minValue="10200" maxValue="22100"/>
    </cacheField>
    <cacheField name="Hatchability_Pct" numFmtId="2">
      <sharedItems containsSemiMixedTypes="0" containsString="0" containsNumber="1" minValue="89.605734767025098" maxValue="92.329545454545453"/>
    </cacheField>
    <cacheField name="Chicks_Graded_1st" numFmtId="2">
      <sharedItems containsSemiMixedTypes="0" containsString="0" containsNumber="1" containsInteger="1" minValue="10000" maxValue="21600"/>
    </cacheField>
    <cacheField name="Chicks_Graded_2nd" numFmtId="2">
      <sharedItems containsSemiMixedTypes="0" containsString="0" containsNumber="1" containsInteger="1" minValue="150" maxValue="390"/>
    </cacheField>
    <cacheField name="Chicks_Culled" numFmtId="2">
      <sharedItems containsSemiMixedTypes="0" containsString="0" containsNumber="1" containsInteger="1" minValue="18" maxValue="145"/>
    </cacheField>
    <cacheField name="Cull Rate %" numFmtId="2">
      <sharedItems containsSemiMixedTypes="0" containsString="0" containsNumber="1" minValue="0.14342629482071714" maxValue="0.75471698113207553"/>
    </cacheField>
    <cacheField name="Feed_Consumed_kg" numFmtId="2">
      <sharedItems containsSemiMixedTypes="0" containsString="0" containsNumber="1" containsInteger="1" minValue="4800" maxValue="10000"/>
    </cacheField>
    <cacheField name="Water_Consumed_L" numFmtId="0">
      <sharedItems/>
    </cacheField>
    <cacheField name="Avg_Incubation_Temp_C" numFmtId="0">
      <sharedItems containsSemiMixedTypes="0" containsString="0" containsNumber="1" minValue="37.4" maxValue="37.9"/>
    </cacheField>
    <cacheField name="Avg_Humidity_Pct" numFmtId="0">
      <sharedItems containsSemiMixedTypes="0" containsString="0" containsNumber="1" containsInteger="1" minValue="55" maxValue="60"/>
    </cacheField>
    <cacheField name="Mortalities" numFmtId="0">
      <sharedItems containsSemiMixedTypes="0" containsString="0" containsNumber="1" containsInteger="1" minValue="3" maxValue="22"/>
    </cacheField>
    <cacheField name="Biosecurity_Check" numFmtId="0">
      <sharedItems count="2">
        <s v="Pass"/>
        <s v="Fail"/>
      </sharedItems>
    </cacheField>
    <cacheField name="Bio Sec Test" numFmtId="0">
      <sharedItems containsSemiMixedTypes="0" containsString="0" containsNumber="1" containsInteger="1" minValue="0" maxValue="1"/>
    </cacheField>
    <cacheField name="QC Flag" numFmtId="0">
      <sharedItems containsBlank="1" count="3">
        <s v="√ OK"/>
        <s v="⚠ Low Hatchability"/>
        <m u="1"/>
      </sharedItems>
    </cacheField>
    <cacheField name="QC Flag Test" numFmtId="0">
      <sharedItems containsSemiMixedTypes="0" containsString="0" containsNumber="1" containsInteger="1" minValue="0" maxValue="1"/>
    </cacheField>
    <cacheField name="Vaccine_Given" numFmtId="0">
      <sharedItems containsBlank="1"/>
    </cacheField>
    <cacheField name="Notes" numFmtId="0">
      <sharedItems/>
    </cacheField>
    <cacheField name="Days (Week_Ending)" numFmtId="0" databaseField="0">
      <fieldGroup base="0">
        <rangePr groupBy="days" startDate="2022-01-07T00:00:00" endDate="2022-05-28T00:00:00"/>
        <groupItems count="368">
          <s v="&lt;2022/01/07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2/05/28"/>
        </groupItems>
      </fieldGroup>
    </cacheField>
    <cacheField name="Months (Week_Ending)" numFmtId="0" databaseField="0">
      <fieldGroup base="0">
        <rangePr groupBy="months" startDate="2022-01-07T00:00:00" endDate="2022-05-28T00:00:00"/>
        <groupItems count="14">
          <s v="&lt;2022/01/07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22/05/28"/>
        </groupItems>
      </fieldGroup>
    </cacheField>
  </cacheFields>
  <extLst>
    <ext xmlns:x14="http://schemas.microsoft.com/office/spreadsheetml/2009/9/main" uri="{725AE2AE-9491-48be-B2B4-4EB974FC3084}">
      <x14:pivotCacheDefinition pivotCacheId="12793013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x v="0"/>
    <x v="0"/>
    <x v="0"/>
    <x v="0"/>
    <s v="Waterberg"/>
    <s v="Lephalale"/>
    <s v="FL-001"/>
    <s v="Ross 308"/>
    <n v="22000"/>
    <s v="20900"/>
    <n v="95"/>
    <n v="19200"/>
    <n v="91.866028708133967"/>
    <n v="18800"/>
    <n v="320"/>
    <n v="80"/>
    <n v="0.41666666666666669"/>
    <n v="8800"/>
    <s v="26400"/>
    <n v="37.6"/>
    <n v="58"/>
    <n v="12"/>
    <x v="0"/>
    <n v="0"/>
    <x v="0"/>
    <n v="0"/>
    <s v="Marek's"/>
    <s v=""/>
  </r>
  <r>
    <x v="0"/>
    <x v="0"/>
    <x v="0"/>
    <x v="1"/>
    <x v="0"/>
    <s v="Waterberg"/>
    <s v="Bela-Bela"/>
    <s v="FL-002"/>
    <s v="Ross 308"/>
    <n v="18500"/>
    <s v="17390"/>
    <n v="94"/>
    <n v="15900"/>
    <n v="91.431857389304199"/>
    <n v="15500"/>
    <n v="280"/>
    <n v="120"/>
    <n v="0.75471698113207553"/>
    <n v="7400"/>
    <s v="22200"/>
    <n v="37.700000000000003"/>
    <n v="57"/>
    <n v="8"/>
    <x v="0"/>
    <n v="0"/>
    <x v="0"/>
    <n v="0"/>
    <s v="Marek's"/>
    <s v=""/>
  </r>
  <r>
    <x v="0"/>
    <x v="0"/>
    <x v="0"/>
    <x v="2"/>
    <x v="1"/>
    <s v="Waterberg"/>
    <s v="Mogalakwena"/>
    <s v="FL-003"/>
    <s v="Lohmann Brown"/>
    <n v="15000"/>
    <s v="14100"/>
    <n v="94"/>
    <n v="12800"/>
    <n v="90.780141843971634"/>
    <n v="12600"/>
    <n v="150"/>
    <n v="50"/>
    <n v="0.390625"/>
    <n v="6000"/>
    <s v="18000"/>
    <n v="37.5"/>
    <n v="59"/>
    <n v="6"/>
    <x v="0"/>
    <n v="0"/>
    <x v="1"/>
    <n v="1"/>
    <s v="ND+IB"/>
    <s v=""/>
  </r>
  <r>
    <x v="0"/>
    <x v="0"/>
    <x v="0"/>
    <x v="3"/>
    <x v="0"/>
    <s v="Capricorn"/>
    <s v="Polokwane"/>
    <s v="FL-004"/>
    <s v="Cobb 500"/>
    <n v="25000"/>
    <s v="23500"/>
    <n v="94"/>
    <n v="21600"/>
    <n v="91.914893617021278"/>
    <n v="21100"/>
    <n v="380"/>
    <n v="120"/>
    <n v="0.55555555555555558"/>
    <n v="10000"/>
    <s v="30000"/>
    <n v="37.6"/>
    <n v="58"/>
    <n v="15"/>
    <x v="0"/>
    <n v="0"/>
    <x v="0"/>
    <n v="0"/>
    <s v="Marek's"/>
    <s v=""/>
  </r>
  <r>
    <x v="0"/>
    <x v="0"/>
    <x v="0"/>
    <x v="4"/>
    <x v="2"/>
    <s v="Mopani"/>
    <s v="Greater Tzaneen"/>
    <s v="FL-005"/>
    <s v="Ross 308"/>
    <n v="12000"/>
    <s v="11400"/>
    <n v="95"/>
    <n v="10500"/>
    <n v="92.10526315789474"/>
    <n v="10300"/>
    <n v="150"/>
    <n v="50"/>
    <n v="0.47619047619047622"/>
    <n v="4800"/>
    <s v="14400"/>
    <n v="37.5"/>
    <n v="58"/>
    <n v="5"/>
    <x v="0"/>
    <n v="0"/>
    <x v="0"/>
    <n v="0"/>
    <s v="Marek's+ND"/>
    <s v="Date format inconsistency"/>
  </r>
  <r>
    <x v="0"/>
    <x v="0"/>
    <x v="0"/>
    <x v="5"/>
    <x v="0"/>
    <s v="Mopani"/>
    <s v="Ba-Phalaborwa"/>
    <s v="FL-006"/>
    <s v="Cobb 500"/>
    <n v="19000"/>
    <s v="17860"/>
    <n v="94"/>
    <n v="16400"/>
    <n v="91.82530795072789"/>
    <n v="16000"/>
    <n v="290"/>
    <n v="110"/>
    <n v="0.67073170731707321"/>
    <n v="7600"/>
    <s v="22800"/>
    <n v="37.700000000000003"/>
    <n v="57"/>
    <n v="10"/>
    <x v="0"/>
    <n v="0"/>
    <x v="0"/>
    <n v="0"/>
    <s v="Marek's"/>
    <s v=""/>
  </r>
  <r>
    <x v="1"/>
    <x v="0"/>
    <x v="0"/>
    <x v="0"/>
    <x v="0"/>
    <s v="Waterberg"/>
    <s v="Lephalale"/>
    <s v="FL-001"/>
    <s v="Ross 308"/>
    <n v="22000"/>
    <s v="21120"/>
    <n v="96"/>
    <n v="19400"/>
    <n v="91.856060606060609"/>
    <n v="19000"/>
    <n v="300"/>
    <n v="100"/>
    <n v="0.51546391752577314"/>
    <n v="8800"/>
    <s v="26400"/>
    <n v="37.6"/>
    <n v="58"/>
    <n v="9"/>
    <x v="0"/>
    <n v="0"/>
    <x v="0"/>
    <n v="0"/>
    <m/>
    <s v=""/>
  </r>
  <r>
    <x v="1"/>
    <x v="0"/>
    <x v="0"/>
    <x v="1"/>
    <x v="0"/>
    <s v="Waterberg"/>
    <s v="Bela-Bela"/>
    <s v="FL-002"/>
    <s v="Ross 308"/>
    <n v="18500"/>
    <s v="17390"/>
    <n v="94"/>
    <n v="15800"/>
    <n v="90.856814261069587"/>
    <n v="15400"/>
    <n v="290"/>
    <n v="110"/>
    <n v="0.69620253164556956"/>
    <n v="7400"/>
    <s v="22200"/>
    <n v="37.799999999999997"/>
    <n v="56"/>
    <n v="11"/>
    <x v="0"/>
    <n v="0"/>
    <x v="1"/>
    <n v="1"/>
    <m/>
    <s v=""/>
  </r>
  <r>
    <x v="1"/>
    <x v="0"/>
    <x v="0"/>
    <x v="2"/>
    <x v="1"/>
    <s v="Waterberg"/>
    <s v="Mogalakwena"/>
    <s v="FL-003"/>
    <s v="Lohmann Brown"/>
    <n v="15000"/>
    <s v="14250"/>
    <n v="95"/>
    <n v="12950"/>
    <n v="90.877192982456151"/>
    <n v="12750"/>
    <n v="160"/>
    <n v="40"/>
    <n v="0.30888030888030887"/>
    <n v="6000"/>
    <s v="18000"/>
    <n v="37.5"/>
    <n v="59"/>
    <n v="4"/>
    <x v="0"/>
    <n v="0"/>
    <x v="1"/>
    <n v="1"/>
    <m/>
    <s v="Breed name not capitalised"/>
  </r>
  <r>
    <x v="1"/>
    <x v="0"/>
    <x v="0"/>
    <x v="3"/>
    <x v="0"/>
    <s v="Capricorn"/>
    <s v="Polokwane"/>
    <s v="FL-004"/>
    <s v="Cobb 500"/>
    <n v="25000"/>
    <s v="23750"/>
    <n v="95"/>
    <n v="21800"/>
    <n v="91.78947368421052"/>
    <n v="21300"/>
    <n v="370"/>
    <n v="130"/>
    <n v="0.59633027522935778"/>
    <n v="10000"/>
    <s v="30000"/>
    <n v="37.5"/>
    <n v="58"/>
    <n v="13"/>
    <x v="0"/>
    <n v="0"/>
    <x v="0"/>
    <n v="0"/>
    <m/>
    <s v=""/>
  </r>
  <r>
    <x v="1"/>
    <x v="0"/>
    <x v="0"/>
    <x v="4"/>
    <x v="2"/>
    <s v="Mopani"/>
    <s v="Greater Tzaneen"/>
    <s v="FL-005"/>
    <s v="Ross 308"/>
    <n v="12000"/>
    <s v="11520"/>
    <n v="96"/>
    <n v="10600"/>
    <n v="92.013888888888886"/>
    <n v="10400"/>
    <n v="160"/>
    <n v="40"/>
    <n v="0.37735849056603776"/>
    <n v="4800"/>
    <s v="14400"/>
    <n v="37.5"/>
    <n v="58"/>
    <n v="4"/>
    <x v="0"/>
    <n v="0"/>
    <x v="0"/>
    <n v="0"/>
    <m/>
    <s v="Another date format"/>
  </r>
  <r>
    <x v="1"/>
    <x v="0"/>
    <x v="0"/>
    <x v="5"/>
    <x v="0"/>
    <s v="Mopani"/>
    <s v="Ba-Phalaborwa"/>
    <s v="FL-006"/>
    <s v="Cobb 500"/>
    <n v="19000"/>
    <s v="17860"/>
    <n v="94"/>
    <n v="16300"/>
    <n v="91.265397536394175"/>
    <n v="15900"/>
    <n v="295"/>
    <n v="105"/>
    <n v="0.64417177914110435"/>
    <n v="7600"/>
    <s v="22800"/>
    <n v="37.700000000000003"/>
    <n v="57"/>
    <n v="8"/>
    <x v="0"/>
    <n v="0"/>
    <x v="0"/>
    <n v="0"/>
    <m/>
    <s v=""/>
  </r>
  <r>
    <x v="2"/>
    <x v="0"/>
    <x v="0"/>
    <x v="0"/>
    <x v="0"/>
    <s v="Waterberg"/>
    <s v="Lephalale"/>
    <s v="FL-001"/>
    <s v="Ross 308"/>
    <n v="22000"/>
    <s v="20680"/>
    <n v="94"/>
    <n v="18900"/>
    <n v="91.392649903288202"/>
    <n v="18500"/>
    <n v="310"/>
    <n v="90"/>
    <n v="0.47619047619047622"/>
    <n v="8800"/>
    <s v="26400"/>
    <n v="37.700000000000003"/>
    <n v="57"/>
    <n v="14"/>
    <x v="0"/>
    <n v="0"/>
    <x v="0"/>
    <n v="0"/>
    <m/>
    <s v=""/>
  </r>
  <r>
    <x v="2"/>
    <x v="0"/>
    <x v="0"/>
    <x v="1"/>
    <x v="0"/>
    <s v="Waterberg"/>
    <s v="Bela-Bela"/>
    <s v="FL-002"/>
    <s v="Ross 308"/>
    <n v="18500"/>
    <s v="17205"/>
    <n v="93"/>
    <n v="15600"/>
    <n v="90.671316477768087"/>
    <n v="15200"/>
    <n v="305"/>
    <n v="95"/>
    <n v="0.60897435897435903"/>
    <n v="7400"/>
    <s v="22200"/>
    <n v="37.6"/>
    <n v="58"/>
    <n v="13"/>
    <x v="1"/>
    <n v="1"/>
    <x v="1"/>
    <n v="1"/>
    <m/>
    <s v="Biosecurity check failed"/>
  </r>
  <r>
    <x v="2"/>
    <x v="0"/>
    <x v="0"/>
    <x v="2"/>
    <x v="1"/>
    <s v="Waterberg"/>
    <s v="Mogalakwena"/>
    <s v="FL-003"/>
    <s v="Lohmann Brown"/>
    <n v="15000"/>
    <s v="13950"/>
    <n v="93"/>
    <n v="12600"/>
    <n v="90.322580645161281"/>
    <n v="12400"/>
    <n v="170"/>
    <n v="30"/>
    <n v="0.23809523809523811"/>
    <n v="6000"/>
    <s v="18000"/>
    <n v="37.6"/>
    <n v="58"/>
    <n v="7"/>
    <x v="0"/>
    <n v="0"/>
    <x v="1"/>
    <n v="1"/>
    <m/>
    <s v=""/>
  </r>
  <r>
    <x v="2"/>
    <x v="0"/>
    <x v="0"/>
    <x v="3"/>
    <x v="0"/>
    <s v="Capricorn"/>
    <s v="Polokwane"/>
    <s v="FL-004"/>
    <s v="Cobb 500"/>
    <n v="25000"/>
    <s v="23500"/>
    <n v="94"/>
    <n v="21500"/>
    <n v="91.489361702127653"/>
    <n v="21000"/>
    <n v="375"/>
    <n v="125"/>
    <n v="0.58139534883720934"/>
    <n v="10000"/>
    <s v="30000"/>
    <n v="37.6"/>
    <n v="57"/>
    <n v="16"/>
    <x v="0"/>
    <n v="0"/>
    <x v="0"/>
    <n v="0"/>
    <m/>
    <s v=""/>
  </r>
  <r>
    <x v="2"/>
    <x v="0"/>
    <x v="0"/>
    <x v="4"/>
    <x v="2"/>
    <s v="Mopani"/>
    <s v="Greater Tzaneen"/>
    <s v="FL-005"/>
    <s v="Ross 308"/>
    <n v="12000"/>
    <s v="11280"/>
    <n v="94"/>
    <n v="10300"/>
    <n v="91.312056737588648"/>
    <n v="10100"/>
    <n v="165"/>
    <n v="35"/>
    <n v="0.33980582524271846"/>
    <n v="4800"/>
    <s v="14400"/>
    <n v="37.6"/>
    <n v="57"/>
    <n v="6"/>
    <x v="0"/>
    <n v="0"/>
    <x v="0"/>
    <n v="0"/>
    <m/>
    <s v=""/>
  </r>
  <r>
    <x v="2"/>
    <x v="0"/>
    <x v="0"/>
    <x v="5"/>
    <x v="0"/>
    <s v="Mopani"/>
    <s v="Ba-Phalaborwa"/>
    <s v="FL-006"/>
    <s v="Cobb 500"/>
    <n v="19000"/>
    <s v="17670"/>
    <n v="93"/>
    <n v="16100"/>
    <n v="91.114883984153934"/>
    <n v="15700"/>
    <n v="300"/>
    <n v="100"/>
    <n v="0.6211180124223602"/>
    <n v="7600"/>
    <s v="22800"/>
    <n v="37.799999999999997"/>
    <n v="56"/>
    <n v="12"/>
    <x v="0"/>
    <n v="0"/>
    <x v="0"/>
    <n v="0"/>
    <m/>
    <s v=""/>
  </r>
  <r>
    <x v="3"/>
    <x v="0"/>
    <x v="0"/>
    <x v="0"/>
    <x v="0"/>
    <s v="Waterberg"/>
    <s v="Lephalale"/>
    <s v="FL-001"/>
    <s v="Ross 308"/>
    <n v="22000"/>
    <s v="21120"/>
    <n v="96"/>
    <n v="19500"/>
    <n v="92.329545454545453"/>
    <n v="19100"/>
    <n v="285"/>
    <n v="115"/>
    <n v="0.58974358974358976"/>
    <n v="8800"/>
    <s v="26400"/>
    <n v="37.5"/>
    <n v="59"/>
    <n v="8"/>
    <x v="0"/>
    <n v="0"/>
    <x v="0"/>
    <n v="0"/>
    <s v="ND"/>
    <s v=""/>
  </r>
  <r>
    <x v="3"/>
    <x v="0"/>
    <x v="0"/>
    <x v="1"/>
    <x v="0"/>
    <s v="Waterberg"/>
    <s v="Bela-Bela"/>
    <s v="FL-002"/>
    <s v="Ross 308"/>
    <n v="18500"/>
    <s v="17945"/>
    <n v="97"/>
    <n v="16400"/>
    <n v="91.390359431596551"/>
    <n v="16000"/>
    <n v="310"/>
    <n v="90"/>
    <n v="0.54878048780487798"/>
    <n v="7400"/>
    <s v="22200"/>
    <n v="37.5"/>
    <n v="59"/>
    <n v="7"/>
    <x v="0"/>
    <n v="0"/>
    <x v="0"/>
    <n v="0"/>
    <s v="ND"/>
    <s v=""/>
  </r>
  <r>
    <x v="3"/>
    <x v="0"/>
    <x v="0"/>
    <x v="2"/>
    <x v="1"/>
    <s v="Waterberg"/>
    <s v="Mogalakwena"/>
    <s v="FL-003"/>
    <s v="Lohmann Brown"/>
    <n v="15000"/>
    <s v="14400"/>
    <n v="96"/>
    <n v="13100"/>
    <n v="90.972222222222214"/>
    <n v="12900"/>
    <n v="165"/>
    <n v="35"/>
    <n v="0.26717557251908397"/>
    <n v="6000"/>
    <s v="18000"/>
    <n v="37.4"/>
    <n v="60"/>
    <n v="5"/>
    <x v="0"/>
    <n v="0"/>
    <x v="1"/>
    <n v="1"/>
    <s v="ND+IB"/>
    <s v=""/>
  </r>
  <r>
    <x v="3"/>
    <x v="0"/>
    <x v="0"/>
    <x v="3"/>
    <x v="0"/>
    <s v="Capricorn"/>
    <s v="Polokwane"/>
    <s v="FL-004"/>
    <s v="Cobb 500"/>
    <n v="25000"/>
    <s v="24000"/>
    <n v="96"/>
    <n v="22100"/>
    <n v="92.083333333333329"/>
    <n v="21600"/>
    <n v="360"/>
    <n v="140"/>
    <n v="0.63348416289592757"/>
    <n v="10000"/>
    <s v="30000"/>
    <n v="37.5"/>
    <n v="58"/>
    <n v="11"/>
    <x v="0"/>
    <n v="0"/>
    <x v="0"/>
    <n v="0"/>
    <s v="ND"/>
    <s v="Farm type not capitalised"/>
  </r>
  <r>
    <x v="3"/>
    <x v="0"/>
    <x v="0"/>
    <x v="4"/>
    <x v="2"/>
    <s v="Mopani"/>
    <s v="Greater Tzaneen"/>
    <s v="FL-005"/>
    <s v="Ross 308"/>
    <n v="12000"/>
    <s v="11640"/>
    <n v="97"/>
    <n v="10700"/>
    <n v="91.924398625429546"/>
    <n v="10500"/>
    <n v="155"/>
    <n v="45"/>
    <n v="0.42056074766355139"/>
    <n v="4800"/>
    <s v="14400"/>
    <n v="37.5"/>
    <n v="58"/>
    <n v="3"/>
    <x v="0"/>
    <n v="0"/>
    <x v="0"/>
    <n v="0"/>
    <s v="ND+Gumboro"/>
    <s v=""/>
  </r>
  <r>
    <x v="3"/>
    <x v="0"/>
    <x v="0"/>
    <x v="5"/>
    <x v="0"/>
    <s v="Mopani"/>
    <s v="Ba-Phalaborwa"/>
    <s v="FL-006"/>
    <s v="Cobb 500"/>
    <n v="19000"/>
    <s v="18430"/>
    <n v="97"/>
    <n v="16900"/>
    <n v="91.698317959848069"/>
    <n v="16500"/>
    <n v="285"/>
    <n v="115"/>
    <n v="0.68047337278106501"/>
    <n v="7600"/>
    <s v="22800"/>
    <n v="37.6"/>
    <n v="58"/>
    <n v="7"/>
    <x v="0"/>
    <n v="0"/>
    <x v="0"/>
    <n v="0"/>
    <s v="ND"/>
    <s v=""/>
  </r>
  <r>
    <x v="4"/>
    <x v="1"/>
    <x v="0"/>
    <x v="0"/>
    <x v="0"/>
    <s v="Waterberg"/>
    <s v="Lephalale"/>
    <s v="FL-001"/>
    <s v="Ross 308"/>
    <n v="22000"/>
    <s v="20460"/>
    <n v="93"/>
    <n v="18700"/>
    <n v="91.397849462365585"/>
    <n v="18300"/>
    <n v="320"/>
    <n v="80"/>
    <n v="0.42780748663101603"/>
    <n v="8800"/>
    <s v="26400"/>
    <n v="37.799999999999997"/>
    <n v="56"/>
    <n v="18"/>
    <x v="0"/>
    <n v="0"/>
    <x v="0"/>
    <n v="0"/>
    <m/>
    <s v=""/>
  </r>
  <r>
    <x v="4"/>
    <x v="1"/>
    <x v="0"/>
    <x v="1"/>
    <x v="0"/>
    <s v="Waterberg"/>
    <s v="Bela-Bela"/>
    <s v="FL-002"/>
    <s v="Ross 308"/>
    <n v="18500"/>
    <s v="16835"/>
    <n v="91"/>
    <n v="15200"/>
    <n v="90.288090288090288"/>
    <n v="14800"/>
    <n v="310"/>
    <n v="90"/>
    <n v="0.5921052631578948"/>
    <n v="7400"/>
    <s v="22200"/>
    <n v="37.9"/>
    <n v="55"/>
    <n v="22"/>
    <x v="1"/>
    <n v="1"/>
    <x v="1"/>
    <n v="1"/>
    <m/>
    <s v="Low fertility + biosec fail - investigate"/>
  </r>
  <r>
    <x v="4"/>
    <x v="1"/>
    <x v="0"/>
    <x v="2"/>
    <x v="1"/>
    <s v="Waterberg"/>
    <s v="Mogalakwena"/>
    <s v="FL-003"/>
    <s v="Lohmann Brown"/>
    <n v="15000"/>
    <s v="13800"/>
    <n v="92"/>
    <n v="12400"/>
    <n v="89.85507246376811"/>
    <n v="12200"/>
    <n v="180"/>
    <n v="20"/>
    <n v="0.16129032258064516"/>
    <n v="6000"/>
    <s v="18000"/>
    <n v="37.700000000000003"/>
    <n v="57"/>
    <n v="9"/>
    <x v="0"/>
    <n v="0"/>
    <x v="1"/>
    <n v="1"/>
    <m/>
    <s v=""/>
  </r>
  <r>
    <x v="4"/>
    <x v="1"/>
    <x v="0"/>
    <x v="3"/>
    <x v="0"/>
    <s v="Capricorn"/>
    <s v="Polokwane"/>
    <s v="FL-004"/>
    <s v="Cobb 500"/>
    <n v="25000"/>
    <s v="23250"/>
    <n v="93"/>
    <n v="21200"/>
    <n v="91.182795698924735"/>
    <n v="20700"/>
    <n v="385"/>
    <n v="115"/>
    <n v="0.54245283018867918"/>
    <n v="10000"/>
    <s v="30000"/>
    <n v="37.700000000000003"/>
    <n v="56"/>
    <n v="20"/>
    <x v="0"/>
    <n v="0"/>
    <x v="0"/>
    <n v="0"/>
    <m/>
    <s v=""/>
  </r>
  <r>
    <x v="4"/>
    <x v="1"/>
    <x v="0"/>
    <x v="4"/>
    <x v="2"/>
    <s v="Mopani"/>
    <s v="Greater Tzaneen"/>
    <s v="FL-005"/>
    <s v="Ross 308"/>
    <n v="12000"/>
    <s v="11160"/>
    <n v="93"/>
    <n v="10200"/>
    <n v="91.397849462365585"/>
    <n v="10000"/>
    <n v="168"/>
    <n v="32"/>
    <n v="0.31372549019607843"/>
    <n v="4800"/>
    <s v="14400"/>
    <n v="37.700000000000003"/>
    <n v="57"/>
    <n v="8"/>
    <x v="0"/>
    <n v="0"/>
    <x v="0"/>
    <n v="0"/>
    <m/>
    <s v=""/>
  </r>
  <r>
    <x v="4"/>
    <x v="1"/>
    <x v="0"/>
    <x v="5"/>
    <x v="0"/>
    <s v="Mopani"/>
    <s v="Ba-Phalaborwa"/>
    <s v="FL-006"/>
    <s v="Cobb 500"/>
    <n v="19000"/>
    <s v="17290"/>
    <n v="91"/>
    <n v="15800"/>
    <n v="91.382301908617706"/>
    <n v="15400"/>
    <n v="295"/>
    <n v="105"/>
    <n v="0.66455696202531644"/>
    <n v="7600"/>
    <s v="22800"/>
    <n v="37.9"/>
    <n v="55"/>
    <n v="15"/>
    <x v="0"/>
    <n v="0"/>
    <x v="0"/>
    <n v="0"/>
    <m/>
    <s v=""/>
  </r>
  <r>
    <x v="5"/>
    <x v="1"/>
    <x v="0"/>
    <x v="0"/>
    <x v="0"/>
    <s v="Waterberg"/>
    <s v="Lephalale"/>
    <s v="FL-001"/>
    <s v="Ross 308"/>
    <n v="22000"/>
    <s v="20900"/>
    <n v="95"/>
    <n v="19100"/>
    <n v="91.387559808612437"/>
    <n v="18700"/>
    <n v="305"/>
    <n v="95"/>
    <n v="0.49738219895287955"/>
    <n v="8800"/>
    <s v="26400"/>
    <n v="37.6"/>
    <n v="58"/>
    <n v="11"/>
    <x v="0"/>
    <n v="0"/>
    <x v="0"/>
    <n v="0"/>
    <m/>
    <s v=""/>
  </r>
  <r>
    <x v="5"/>
    <x v="1"/>
    <x v="0"/>
    <x v="1"/>
    <x v="0"/>
    <s v="Waterberg"/>
    <s v="Bela-Bela"/>
    <s v="FL-002"/>
    <s v="Ross 308"/>
    <n v="18500"/>
    <s v="17390"/>
    <n v="94"/>
    <n v="15800"/>
    <n v="90.856814261069587"/>
    <n v="15400"/>
    <n v="295"/>
    <n v="105"/>
    <n v="0.66455696202531644"/>
    <n v="7400"/>
    <s v="22200"/>
    <n v="37.6"/>
    <n v="58"/>
    <n v="10"/>
    <x v="0"/>
    <n v="0"/>
    <x v="1"/>
    <n v="1"/>
    <m/>
    <s v=""/>
  </r>
  <r>
    <x v="5"/>
    <x v="1"/>
    <x v="0"/>
    <x v="2"/>
    <x v="1"/>
    <s v="Waterberg"/>
    <s v="Mogalakwena"/>
    <s v="FL-003"/>
    <s v="Lohmann Brown"/>
    <n v="15000"/>
    <s v="14100"/>
    <n v="94"/>
    <n v="12750"/>
    <n v="90.425531914893625"/>
    <n v="12550"/>
    <n v="172"/>
    <n v="28"/>
    <n v="0.2196078431372549"/>
    <n v="6000"/>
    <s v="18000"/>
    <n v="37.6"/>
    <n v="58"/>
    <n v="6"/>
    <x v="0"/>
    <n v="0"/>
    <x v="1"/>
    <n v="1"/>
    <m/>
    <s v=""/>
  </r>
  <r>
    <x v="5"/>
    <x v="1"/>
    <x v="0"/>
    <x v="3"/>
    <x v="0"/>
    <s v="Capricorn"/>
    <s v="Polokwane"/>
    <s v="FL-004"/>
    <s v="Cobb 500"/>
    <n v="25000"/>
    <s v="23500"/>
    <n v="94"/>
    <n v="21600"/>
    <n v="91.914893617021278"/>
    <n v="21100"/>
    <n v="375"/>
    <n v="125"/>
    <n v="0.57870370370370372"/>
    <n v="10000"/>
    <s v="30000"/>
    <n v="37.6"/>
    <n v="58"/>
    <n v="14"/>
    <x v="0"/>
    <n v="0"/>
    <x v="0"/>
    <n v="0"/>
    <m/>
    <s v=""/>
  </r>
  <r>
    <x v="5"/>
    <x v="1"/>
    <x v="0"/>
    <x v="4"/>
    <x v="2"/>
    <s v="Mopani"/>
    <s v="Greater Tzaneen"/>
    <s v="FL-005"/>
    <s v="Ross 308"/>
    <n v="12000"/>
    <s v="11400"/>
    <n v="95"/>
    <n v="10500"/>
    <n v="92.10526315789474"/>
    <n v="10300"/>
    <n v="158"/>
    <n v="42"/>
    <n v="0.4"/>
    <n v="4800"/>
    <s v="14400"/>
    <n v="37.5"/>
    <n v="58"/>
    <n v="4"/>
    <x v="0"/>
    <n v="0"/>
    <x v="0"/>
    <n v="0"/>
    <m/>
    <s v=""/>
  </r>
  <r>
    <x v="5"/>
    <x v="1"/>
    <x v="0"/>
    <x v="5"/>
    <x v="0"/>
    <s v="Mopani"/>
    <s v="Ba-Phalaborwa"/>
    <s v="FL-006"/>
    <s v="Cobb 500"/>
    <n v="19000"/>
    <s v="17860"/>
    <n v="94"/>
    <n v="16300"/>
    <n v="91.265397536394175"/>
    <n v="15900"/>
    <n v="298"/>
    <n v="102"/>
    <n v="0.62576687116564411"/>
    <n v="7600"/>
    <s v="22800"/>
    <n v="37.700000000000003"/>
    <n v="57"/>
    <n v="9"/>
    <x v="0"/>
    <n v="0"/>
    <x v="0"/>
    <n v="0"/>
    <m/>
    <s v=""/>
  </r>
  <r>
    <x v="6"/>
    <x v="1"/>
    <x v="0"/>
    <x v="0"/>
    <x v="0"/>
    <s v="Waterberg"/>
    <s v="Lephalale"/>
    <s v="FL-001"/>
    <s v="Ross 308"/>
    <n v="22000"/>
    <s v="21120"/>
    <n v="96"/>
    <n v="19400"/>
    <n v="91.856060606060609"/>
    <n v="19000"/>
    <n v="295"/>
    <n v="105"/>
    <n v="0.54123711340206182"/>
    <n v="8800"/>
    <s v="26400"/>
    <n v="37.5"/>
    <n v="59"/>
    <n v="8"/>
    <x v="0"/>
    <n v="0"/>
    <x v="0"/>
    <n v="0"/>
    <s v="Gumboro"/>
    <s v="Breed name missing space"/>
  </r>
  <r>
    <x v="6"/>
    <x v="1"/>
    <x v="0"/>
    <x v="1"/>
    <x v="0"/>
    <s v="Waterberg"/>
    <s v="Bela-Bela"/>
    <s v="FL-002"/>
    <s v="Ross 308"/>
    <n v="18500"/>
    <s v="17575"/>
    <n v="95"/>
    <n v="16000"/>
    <n v="91.038406827880507"/>
    <n v="15600"/>
    <n v="300"/>
    <n v="100"/>
    <n v="0.625"/>
    <n v="7400"/>
    <s v="22200"/>
    <n v="37.6"/>
    <n v="58"/>
    <n v="9"/>
    <x v="0"/>
    <n v="0"/>
    <x v="0"/>
    <n v="0"/>
    <s v="Gumboro"/>
    <s v=""/>
  </r>
  <r>
    <x v="6"/>
    <x v="1"/>
    <x v="0"/>
    <x v="2"/>
    <x v="1"/>
    <s v="Waterberg"/>
    <s v="Mogalakwena"/>
    <s v="FL-003"/>
    <s v="Lohmann Brown"/>
    <n v="15000"/>
    <s v="14250"/>
    <n v="95"/>
    <n v="12900"/>
    <n v="90.526315789473685"/>
    <n v="12700"/>
    <n v="168"/>
    <n v="32"/>
    <n v="0.24806201550387599"/>
    <n v="6000"/>
    <s v="18000"/>
    <n v="37.5"/>
    <n v="59"/>
    <n v="5"/>
    <x v="0"/>
    <n v="0"/>
    <x v="1"/>
    <n v="1"/>
    <s v="IB"/>
    <s v=""/>
  </r>
  <r>
    <x v="6"/>
    <x v="1"/>
    <x v="0"/>
    <x v="3"/>
    <x v="0"/>
    <s v="Capricorn"/>
    <s v="Polokwane"/>
    <s v="FL-004"/>
    <s v="Cobb 500"/>
    <n v="25000"/>
    <s v="23750"/>
    <n v="95"/>
    <n v="21800"/>
    <n v="91.78947368421052"/>
    <n v="21300"/>
    <n v="365"/>
    <n v="135"/>
    <n v="0.61926605504587162"/>
    <n v="10000"/>
    <s v="30000"/>
    <n v="37.5"/>
    <n v="58"/>
    <n v="12"/>
    <x v="0"/>
    <n v="0"/>
    <x v="0"/>
    <n v="0"/>
    <s v="Gumboro"/>
    <s v=""/>
  </r>
  <r>
    <x v="6"/>
    <x v="1"/>
    <x v="0"/>
    <x v="4"/>
    <x v="2"/>
    <s v="Mopani"/>
    <s v="Greater Tzaneen"/>
    <s v="FL-005"/>
    <s v="Ross 308"/>
    <n v="12000"/>
    <s v="11520"/>
    <n v="96"/>
    <n v="10600"/>
    <n v="92.013888888888886"/>
    <n v="10400"/>
    <n v="155"/>
    <n v="45"/>
    <n v="0.42452830188679247"/>
    <n v="4800"/>
    <s v="14400"/>
    <n v="37.5"/>
    <n v="59"/>
    <n v="3"/>
    <x v="0"/>
    <n v="0"/>
    <x v="0"/>
    <n v="0"/>
    <s v="Gumboro+ND"/>
    <s v=""/>
  </r>
  <r>
    <x v="6"/>
    <x v="1"/>
    <x v="0"/>
    <x v="5"/>
    <x v="0"/>
    <s v="Mopani"/>
    <s v="Ba-Phalaborwa"/>
    <s v="FL-006"/>
    <s v="Cobb 500"/>
    <n v="19000"/>
    <s v="18050"/>
    <n v="95"/>
    <n v="16600"/>
    <n v="91.966759002770075"/>
    <n v="16200"/>
    <n v="288"/>
    <n v="112"/>
    <n v="0.67469879518072284"/>
    <n v="7600"/>
    <s v="22800"/>
    <n v="37.6"/>
    <n v="58"/>
    <n v="7"/>
    <x v="0"/>
    <n v="0"/>
    <x v="0"/>
    <n v="0"/>
    <s v="Gumboro"/>
    <s v=""/>
  </r>
  <r>
    <x v="7"/>
    <x v="1"/>
    <x v="0"/>
    <x v="0"/>
    <x v="0"/>
    <s v="Waterberg"/>
    <s v="Lephalale"/>
    <s v="FL-001"/>
    <s v="Ross 308"/>
    <n v="22000"/>
    <s v="20680"/>
    <n v="94"/>
    <n v="18900"/>
    <n v="91.392649903288202"/>
    <n v="18500"/>
    <n v="310"/>
    <n v="90"/>
    <n v="0.47619047619047622"/>
    <n v="8800"/>
    <s v="26400"/>
    <n v="37.700000000000003"/>
    <n v="57"/>
    <n v="13"/>
    <x v="0"/>
    <n v="0"/>
    <x v="0"/>
    <n v="0"/>
    <m/>
    <s v=""/>
  </r>
  <r>
    <x v="7"/>
    <x v="1"/>
    <x v="0"/>
    <x v="1"/>
    <x v="0"/>
    <s v="Waterberg"/>
    <s v="Bela-Bela"/>
    <s v="FL-002"/>
    <s v="Ross 308"/>
    <n v="18500"/>
    <s v="17390"/>
    <n v="94"/>
    <n v="15700"/>
    <n v="90.281771132834962"/>
    <n v="15300"/>
    <n v="305"/>
    <n v="95"/>
    <n v="0.60509554140127397"/>
    <n v="7400"/>
    <s v="22200"/>
    <n v="37.700000000000003"/>
    <n v="57"/>
    <n v="14"/>
    <x v="0"/>
    <n v="0"/>
    <x v="1"/>
    <n v="1"/>
    <m/>
    <s v=""/>
  </r>
  <r>
    <x v="7"/>
    <x v="1"/>
    <x v="0"/>
    <x v="2"/>
    <x v="1"/>
    <s v="Waterberg"/>
    <s v="Mogalakwena"/>
    <s v="FL-003"/>
    <s v="Lohmann Brown"/>
    <n v="15000"/>
    <s v="14100"/>
    <n v="94"/>
    <n v="12700"/>
    <n v="90.070921985815602"/>
    <n v="12500"/>
    <n v="175"/>
    <n v="25"/>
    <n v="0.19685039370078738"/>
    <n v="6000"/>
    <s v="18000"/>
    <n v="37.700000000000003"/>
    <n v="57"/>
    <n v="8"/>
    <x v="0"/>
    <n v="0"/>
    <x v="1"/>
    <n v="1"/>
    <m/>
    <s v=""/>
  </r>
  <r>
    <x v="7"/>
    <x v="1"/>
    <x v="0"/>
    <x v="3"/>
    <x v="0"/>
    <s v="Capricorn"/>
    <s v="Polokwane"/>
    <s v="FL-004"/>
    <s v="Cobb 500"/>
    <n v="25000"/>
    <s v="23500"/>
    <n v="94"/>
    <n v="21500"/>
    <n v="91.489361702127653"/>
    <n v="21000"/>
    <n v="378"/>
    <n v="122"/>
    <n v="0.56744186046511635"/>
    <n v="10000"/>
    <s v="30000"/>
    <n v="37.6"/>
    <n v="57"/>
    <n v="15"/>
    <x v="0"/>
    <n v="0"/>
    <x v="0"/>
    <n v="0"/>
    <m/>
    <s v=""/>
  </r>
  <r>
    <x v="7"/>
    <x v="1"/>
    <x v="0"/>
    <x v="4"/>
    <x v="2"/>
    <s v="Mopani"/>
    <s v="Greater Tzaneen"/>
    <s v="FL-005"/>
    <s v="Ross 308"/>
    <n v="12000"/>
    <s v="11280"/>
    <n v="94"/>
    <n v="10300"/>
    <n v="91.312056737588648"/>
    <n v="10100"/>
    <n v="162"/>
    <n v="38"/>
    <n v="0.36893203883495146"/>
    <n v="4800"/>
    <s v="14400"/>
    <n v="37.6"/>
    <n v="57"/>
    <n v="5"/>
    <x v="0"/>
    <n v="0"/>
    <x v="0"/>
    <n v="0"/>
    <m/>
    <s v=""/>
  </r>
  <r>
    <x v="7"/>
    <x v="1"/>
    <x v="0"/>
    <x v="5"/>
    <x v="0"/>
    <s v="Mopani"/>
    <s v="Ba-Phalaborwa"/>
    <s v="FL-006"/>
    <s v="Cobb 500"/>
    <n v="19000"/>
    <s v="17670"/>
    <n v="93"/>
    <n v="16100"/>
    <n v="91.114883984153934"/>
    <n v="15700"/>
    <n v="302"/>
    <n v="98"/>
    <n v="0.60869565217391308"/>
    <n v="7600"/>
    <s v="22800"/>
    <n v="37.799999999999997"/>
    <n v="56"/>
    <n v="11"/>
    <x v="0"/>
    <n v="0"/>
    <x v="0"/>
    <n v="0"/>
    <m/>
    <s v=""/>
  </r>
  <r>
    <x v="8"/>
    <x v="2"/>
    <x v="0"/>
    <x v="0"/>
    <x v="0"/>
    <s v="Waterberg"/>
    <s v="Lephalale"/>
    <s v="FL-001"/>
    <s v="Ross 308"/>
    <n v="22000"/>
    <s v="21120"/>
    <n v="96"/>
    <n v="19400"/>
    <n v="91.856060606060609"/>
    <n v="19000"/>
    <n v="298"/>
    <n v="102"/>
    <n v="0.52577319587628868"/>
    <n v="8800"/>
    <s v="26400"/>
    <n v="37.5"/>
    <n v="59"/>
    <n v="9"/>
    <x v="0"/>
    <n v="0"/>
    <x v="0"/>
    <n v="0"/>
    <s v="ND"/>
    <s v="Heat wave week - monitor temps"/>
  </r>
  <r>
    <x v="8"/>
    <x v="2"/>
    <x v="0"/>
    <x v="1"/>
    <x v="0"/>
    <s v="Waterberg"/>
    <s v="Bela-Bela"/>
    <s v="FL-002"/>
    <s v="Ross 308"/>
    <n v="18500"/>
    <s v="17945"/>
    <n v="97"/>
    <n v="16400"/>
    <n v="91.390359431596551"/>
    <n v="16000"/>
    <n v="308"/>
    <n v="92"/>
    <n v="0.5609756097560975"/>
    <n v="7400"/>
    <s v="22200"/>
    <n v="37.5"/>
    <n v="59"/>
    <n v="8"/>
    <x v="0"/>
    <n v="0"/>
    <x v="0"/>
    <n v="0"/>
    <s v="ND"/>
    <s v=""/>
  </r>
  <r>
    <x v="8"/>
    <x v="2"/>
    <x v="0"/>
    <x v="2"/>
    <x v="1"/>
    <s v="Waterberg"/>
    <s v="Mogalakwena"/>
    <s v="FL-003"/>
    <s v="Lohmann Brown"/>
    <n v="15000"/>
    <s v="14400"/>
    <n v="96"/>
    <n v="13050"/>
    <n v="90.625"/>
    <n v="12850"/>
    <n v="170"/>
    <n v="30"/>
    <n v="0.22988505747126436"/>
    <n v="6000"/>
    <s v="18000"/>
    <n v="37.5"/>
    <n v="60"/>
    <n v="5"/>
    <x v="0"/>
    <n v="0"/>
    <x v="1"/>
    <n v="1"/>
    <s v="ND+IB"/>
    <s v=""/>
  </r>
  <r>
    <x v="8"/>
    <x v="2"/>
    <x v="0"/>
    <x v="3"/>
    <x v="0"/>
    <s v="Capricorn"/>
    <s v="Polokwane"/>
    <s v="FL-004"/>
    <s v="Cobb 500"/>
    <n v="25000"/>
    <s v="24000"/>
    <n v="96"/>
    <n v="22000"/>
    <n v="91.666666666666657"/>
    <n v="21500"/>
    <n v="368"/>
    <n v="132"/>
    <n v="0.6"/>
    <n v="10000"/>
    <s v="30000"/>
    <n v="37.5"/>
    <n v="58"/>
    <n v="10"/>
    <x v="0"/>
    <n v="0"/>
    <x v="0"/>
    <n v="0"/>
    <s v="ND"/>
    <s v=""/>
  </r>
  <r>
    <x v="8"/>
    <x v="2"/>
    <x v="0"/>
    <x v="4"/>
    <x v="2"/>
    <s v="Mopani"/>
    <s v="Greater Tzaneen"/>
    <s v="FL-005"/>
    <s v="Ross 308"/>
    <n v="12000"/>
    <s v="11640"/>
    <n v="97"/>
    <n v="10700"/>
    <n v="91.924398625429546"/>
    <n v="10500"/>
    <n v="152"/>
    <n v="48"/>
    <n v="0.44859813084112149"/>
    <n v="4800"/>
    <s v="14400"/>
    <n v="37.5"/>
    <n v="59"/>
    <n v="3"/>
    <x v="0"/>
    <n v="0"/>
    <x v="0"/>
    <n v="0"/>
    <s v="ND+Gumboro"/>
    <s v=""/>
  </r>
  <r>
    <x v="8"/>
    <x v="2"/>
    <x v="0"/>
    <x v="5"/>
    <x v="0"/>
    <s v="Mopani"/>
    <s v="Ba-Phalaborwa"/>
    <s v="FL-006"/>
    <s v="Cobb 500"/>
    <n v="19000"/>
    <s v="18430"/>
    <n v="97"/>
    <n v="16900"/>
    <n v="91.698317959848069"/>
    <n v="16500"/>
    <n v="283"/>
    <n v="117"/>
    <n v="0.69230769230769229"/>
    <n v="7600"/>
    <s v="22800"/>
    <n v="37.6"/>
    <n v="58"/>
    <n v="7"/>
    <x v="0"/>
    <n v="0"/>
    <x v="0"/>
    <n v="0"/>
    <s v="ND"/>
    <s v=""/>
  </r>
  <r>
    <x v="9"/>
    <x v="2"/>
    <x v="0"/>
    <x v="0"/>
    <x v="0"/>
    <s v="Waterberg"/>
    <s v="Lephalale"/>
    <s v="FL-001"/>
    <s v="Ross 308"/>
    <n v="22000"/>
    <s v="20900"/>
    <n v="95"/>
    <n v="19100"/>
    <n v="91.387559808612437"/>
    <n v="18700"/>
    <n v="308"/>
    <n v="92"/>
    <n v="0.48167539267015708"/>
    <n v="8800"/>
    <s v="26400"/>
    <n v="37.799999999999997"/>
    <n v="57"/>
    <n v="14"/>
    <x v="0"/>
    <n v="0"/>
    <x v="0"/>
    <n v="0"/>
    <m/>
    <s v=""/>
  </r>
  <r>
    <x v="9"/>
    <x v="2"/>
    <x v="0"/>
    <x v="1"/>
    <x v="0"/>
    <s v="Waterberg"/>
    <s v="Bela-Bela"/>
    <s v="FL-002"/>
    <s v="Ross 308"/>
    <n v="18500"/>
    <s v="17205"/>
    <n v="93"/>
    <n v="15500"/>
    <n v="90.090090090090087"/>
    <n v="15100"/>
    <n v="312"/>
    <n v="88"/>
    <n v="0.56774193548387097"/>
    <n v="7400"/>
    <s v="22200"/>
    <n v="37.9"/>
    <n v="55"/>
    <n v="19"/>
    <x v="0"/>
    <n v="0"/>
    <x v="1"/>
    <n v="1"/>
    <m/>
    <s v="Slightly elevated mortalities"/>
  </r>
  <r>
    <x v="9"/>
    <x v="2"/>
    <x v="0"/>
    <x v="2"/>
    <x v="1"/>
    <s v="Waterberg"/>
    <s v="Mogalakwena"/>
    <s v="FL-003"/>
    <s v="Lohmann Brown"/>
    <n v="15000"/>
    <s v="13950"/>
    <n v="93"/>
    <n v="12500"/>
    <n v="89.605734767025098"/>
    <n v="12300"/>
    <n v="182"/>
    <n v="18"/>
    <n v="0.14400000000000002"/>
    <n v="6000"/>
    <s v="18000"/>
    <n v="37.799999999999997"/>
    <n v="56"/>
    <n v="10"/>
    <x v="0"/>
    <n v="0"/>
    <x v="1"/>
    <n v="1"/>
    <m/>
    <s v="Hatchability below 90 - flag"/>
  </r>
  <r>
    <x v="9"/>
    <x v="2"/>
    <x v="0"/>
    <x v="3"/>
    <x v="0"/>
    <s v="Capricorn"/>
    <s v="Polokwane"/>
    <s v="FL-004"/>
    <s v="Cobb 500"/>
    <n v="25000"/>
    <n v="23500"/>
    <n v="94"/>
    <n v="21600"/>
    <n v="91.914893617021278"/>
    <n v="21100"/>
    <n v="372"/>
    <n v="128"/>
    <n v="0.59259259259259256"/>
    <n v="10000"/>
    <s v="30000"/>
    <n v="37.700000000000003"/>
    <n v="57"/>
    <n v="16"/>
    <x v="0"/>
    <n v="0"/>
    <x v="0"/>
    <n v="0"/>
    <m/>
    <s v="Missing eggs fertile count"/>
  </r>
  <r>
    <x v="9"/>
    <x v="2"/>
    <x v="0"/>
    <x v="4"/>
    <x v="2"/>
    <s v="Mopani"/>
    <s v="Greater Tzaneen"/>
    <s v="FL-005"/>
    <s v="Ross 308"/>
    <n v="12000"/>
    <s v="11400"/>
    <n v="95"/>
    <n v="10500"/>
    <n v="92.10526315789474"/>
    <n v="10300"/>
    <n v="160"/>
    <n v="40"/>
    <n v="0.38095238095238093"/>
    <n v="4800"/>
    <s v="14400"/>
    <n v="37.6"/>
    <n v="57"/>
    <n v="5"/>
    <x v="0"/>
    <n v="0"/>
    <x v="0"/>
    <n v="0"/>
    <m/>
    <s v=""/>
  </r>
  <r>
    <x v="9"/>
    <x v="2"/>
    <x v="0"/>
    <x v="5"/>
    <x v="0"/>
    <s v="Mopani"/>
    <s v="Ba-Phalaborwa"/>
    <s v="FL-006"/>
    <s v="Cobb 500"/>
    <n v="19000"/>
    <s v="17860"/>
    <n v="94"/>
    <n v="16300"/>
    <n v="91.265397536394175"/>
    <n v="15900"/>
    <n v="296"/>
    <n v="104"/>
    <n v="0.6380368098159509"/>
    <n v="7600"/>
    <s v="22800"/>
    <n v="37.799999999999997"/>
    <n v="56"/>
    <n v="10"/>
    <x v="0"/>
    <n v="0"/>
    <x v="0"/>
    <n v="0"/>
    <m/>
    <s v=""/>
  </r>
  <r>
    <x v="10"/>
    <x v="2"/>
    <x v="0"/>
    <x v="0"/>
    <x v="0"/>
    <s v="Waterberg"/>
    <s v="Lephalale"/>
    <s v="FL-001"/>
    <s v="Ross 308"/>
    <n v="22000"/>
    <s v="21120"/>
    <n v="96"/>
    <n v="19400"/>
    <n v="91.856060606060609"/>
    <n v="19000"/>
    <n v="296"/>
    <n v="104"/>
    <n v="0.53608247422680411"/>
    <n v="8800"/>
    <s v="26400"/>
    <n v="37.5"/>
    <n v="59"/>
    <n v="8"/>
    <x v="0"/>
    <n v="0"/>
    <x v="0"/>
    <n v="0"/>
    <m/>
    <s v=""/>
  </r>
  <r>
    <x v="10"/>
    <x v="2"/>
    <x v="0"/>
    <x v="1"/>
    <x v="0"/>
    <s v="Waterberg"/>
    <s v="Bela-Bela"/>
    <s v="FL-002"/>
    <s v="Ross 308"/>
    <n v="18500"/>
    <s v="17575"/>
    <n v="95"/>
    <n v="16000"/>
    <n v="91.038406827880507"/>
    <n v="15600"/>
    <n v="305"/>
    <n v="95"/>
    <n v="0.59375"/>
    <n v="7400"/>
    <s v="22200"/>
    <n v="37.5"/>
    <n v="59"/>
    <n v="8"/>
    <x v="0"/>
    <n v="0"/>
    <x v="0"/>
    <n v="0"/>
    <m/>
    <s v=""/>
  </r>
  <r>
    <x v="10"/>
    <x v="2"/>
    <x v="0"/>
    <x v="2"/>
    <x v="1"/>
    <s v="Waterberg"/>
    <s v="Mogalakwena"/>
    <s v="FL-003"/>
    <s v="Lohmann Brown"/>
    <n v="15000"/>
    <s v="14250"/>
    <n v="95"/>
    <n v="12920"/>
    <n v="90.666666666666657"/>
    <n v="12720"/>
    <n v="168"/>
    <n v="32"/>
    <n v="0.24767801857585142"/>
    <n v="6000"/>
    <s v="18000"/>
    <n v="37.5"/>
    <n v="59"/>
    <n v="5"/>
    <x v="0"/>
    <n v="0"/>
    <x v="1"/>
    <n v="1"/>
    <m/>
    <s v=""/>
  </r>
  <r>
    <x v="10"/>
    <x v="2"/>
    <x v="0"/>
    <x v="3"/>
    <x v="0"/>
    <s v="Capricorn"/>
    <s v="Polokwane"/>
    <s v="FL-004"/>
    <s v="Cobb 500"/>
    <n v="25000"/>
    <s v="23750"/>
    <n v="95"/>
    <n v="21800"/>
    <n v="91.78947368421052"/>
    <n v="21300"/>
    <n v="368"/>
    <n v="132"/>
    <n v="0.60550458715596334"/>
    <n v="10000"/>
    <s v="30000"/>
    <n v="37.5"/>
    <n v="58"/>
    <n v="11"/>
    <x v="0"/>
    <n v="0"/>
    <x v="0"/>
    <n v="0"/>
    <m/>
    <s v=""/>
  </r>
  <r>
    <x v="10"/>
    <x v="2"/>
    <x v="0"/>
    <x v="4"/>
    <x v="2"/>
    <s v="Mopani"/>
    <s v="Greater Tzaneen"/>
    <s v="FL-005"/>
    <s v="Ross 308"/>
    <n v="12000"/>
    <s v="11520"/>
    <n v="96"/>
    <n v="10600"/>
    <n v="92.013888888888886"/>
    <n v="10400"/>
    <n v="158"/>
    <n v="42"/>
    <n v="0.39622641509433959"/>
    <n v="4800"/>
    <s v="14400"/>
    <n v="37.5"/>
    <n v="58"/>
    <n v="3"/>
    <x v="0"/>
    <n v="0"/>
    <x v="0"/>
    <n v="0"/>
    <m/>
    <s v=""/>
  </r>
  <r>
    <x v="10"/>
    <x v="2"/>
    <x v="0"/>
    <x v="5"/>
    <x v="0"/>
    <s v="Mopani"/>
    <s v="Ba-Phalaborwa"/>
    <s v="FL-006"/>
    <s v="Cobb 500"/>
    <n v="19000"/>
    <s v="18050"/>
    <n v="95"/>
    <n v="16600"/>
    <n v="91.966759002770075"/>
    <n v="16200"/>
    <n v="285"/>
    <n v="115"/>
    <n v="0.69277108433734935"/>
    <n v="7600"/>
    <s v="22800"/>
    <n v="37.6"/>
    <n v="58"/>
    <n v="7"/>
    <x v="0"/>
    <n v="0"/>
    <x v="0"/>
    <n v="0"/>
    <m/>
    <s v=""/>
  </r>
  <r>
    <x v="11"/>
    <x v="2"/>
    <x v="0"/>
    <x v="0"/>
    <x v="0"/>
    <s v="Waterberg"/>
    <s v="Lephalale"/>
    <s v="FL-001"/>
    <s v="Ross 308"/>
    <n v="22000"/>
    <s v="20900"/>
    <n v="95"/>
    <n v="19200"/>
    <n v="91.866028708133967"/>
    <n v="18800"/>
    <n v="302"/>
    <n v="98"/>
    <n v="0.51041666666666663"/>
    <n v="8800"/>
    <s v="26400"/>
    <n v="37.6"/>
    <n v="58"/>
    <n v="10"/>
    <x v="0"/>
    <n v="0"/>
    <x v="0"/>
    <n v="0"/>
    <s v="ND"/>
    <s v=""/>
  </r>
  <r>
    <x v="11"/>
    <x v="2"/>
    <x v="0"/>
    <x v="1"/>
    <x v="0"/>
    <s v="Waterberg"/>
    <s v="Bela-Bela"/>
    <s v="FL-002"/>
    <s v="Ross 308"/>
    <n v="18500"/>
    <s v="17390"/>
    <n v="94"/>
    <n v="15900"/>
    <n v="91.431857389304199"/>
    <n v="15500"/>
    <n v="292"/>
    <n v="108"/>
    <n v="0.67924528301886788"/>
    <n v="7400"/>
    <s v="22200"/>
    <n v="37.6"/>
    <n v="58"/>
    <n v="9"/>
    <x v="0"/>
    <n v="0"/>
    <x v="0"/>
    <n v="0"/>
    <s v="ND"/>
    <s v=""/>
  </r>
  <r>
    <x v="11"/>
    <x v="2"/>
    <x v="0"/>
    <x v="2"/>
    <x v="1"/>
    <s v="Waterberg"/>
    <s v="Mogalakwena"/>
    <s v="FL-003"/>
    <s v="Lohmann Brown"/>
    <n v="15000"/>
    <s v="14100"/>
    <n v="94"/>
    <n v="12800"/>
    <n v="90.780141843971634"/>
    <n v="12600"/>
    <n v="172"/>
    <n v="28"/>
    <n v="0.21875000000000003"/>
    <n v="6000"/>
    <s v="18000"/>
    <n v="37.5"/>
    <n v="59"/>
    <n v="6"/>
    <x v="0"/>
    <n v="0"/>
    <x v="1"/>
    <n v="1"/>
    <s v="ND+IB"/>
    <s v=""/>
  </r>
  <r>
    <x v="11"/>
    <x v="2"/>
    <x v="0"/>
    <x v="3"/>
    <x v="0"/>
    <s v="Capricorn"/>
    <s v="Polokwane"/>
    <s v="FL-004"/>
    <s v="Cobb 500"/>
    <n v="25000"/>
    <s v="23500"/>
    <n v="94"/>
    <n v="21600"/>
    <n v="91.914893617021278"/>
    <n v="21100"/>
    <n v="378"/>
    <n v="122"/>
    <n v="0.56481481481481477"/>
    <n v="10000"/>
    <s v="30000"/>
    <n v="37.6"/>
    <n v="58"/>
    <n v="13"/>
    <x v="0"/>
    <n v="0"/>
    <x v="0"/>
    <n v="0"/>
    <s v="ND"/>
    <s v=""/>
  </r>
  <r>
    <x v="11"/>
    <x v="2"/>
    <x v="0"/>
    <x v="4"/>
    <x v="2"/>
    <s v="Mopani"/>
    <s v="Greater Tzaneen"/>
    <s v="FL-005"/>
    <s v="Ross 308"/>
    <n v="12000"/>
    <s v="11400"/>
    <n v="95"/>
    <n v="10500"/>
    <n v="92.10526315789474"/>
    <n v="10300"/>
    <n v="155"/>
    <n v="45"/>
    <n v="0.4285714285714286"/>
    <n v="4800"/>
    <s v="14400"/>
    <n v="37.5"/>
    <n v="58"/>
    <n v="4"/>
    <x v="0"/>
    <n v="0"/>
    <x v="0"/>
    <n v="0"/>
    <s v="ND"/>
    <s v=""/>
  </r>
  <r>
    <x v="12"/>
    <x v="3"/>
    <x v="1"/>
    <x v="0"/>
    <x v="0"/>
    <s v="Waterberg"/>
    <s v="Lephalale"/>
    <s v="FL-001"/>
    <s v="Ross 308"/>
    <n v="22000"/>
    <s v="21120"/>
    <n v="96"/>
    <n v="19500"/>
    <n v="92.329545454545453"/>
    <n v="19100"/>
    <n v="288"/>
    <n v="112"/>
    <n v="0.57435897435897443"/>
    <n v="8800"/>
    <s v="26400"/>
    <n v="37.5"/>
    <n v="59"/>
    <n v="7"/>
    <x v="0"/>
    <n v="0"/>
    <x v="0"/>
    <n v="0"/>
    <s v="Gumboro"/>
    <s v="Post-shutdown restart"/>
  </r>
  <r>
    <x v="12"/>
    <x v="3"/>
    <x v="1"/>
    <x v="1"/>
    <x v="0"/>
    <s v="Waterberg"/>
    <s v="Bela-Bela"/>
    <s v="FL-002"/>
    <s v="Ross 308"/>
    <n v="18500"/>
    <s v="17945"/>
    <n v="97"/>
    <n v="16500"/>
    <n v="91.947617720813597"/>
    <n v="16100"/>
    <n v="302"/>
    <n v="98"/>
    <n v="0.59393939393939399"/>
    <n v="7400"/>
    <s v="22200"/>
    <n v="37.5"/>
    <n v="59"/>
    <n v="6"/>
    <x v="0"/>
    <n v="0"/>
    <x v="0"/>
    <n v="0"/>
    <s v="Gumboro"/>
    <s v=""/>
  </r>
  <r>
    <x v="12"/>
    <x v="3"/>
    <x v="1"/>
    <x v="2"/>
    <x v="1"/>
    <s v="Waterberg"/>
    <s v="Mogalakwena"/>
    <s v="FL-003"/>
    <s v="Lohmann Brown"/>
    <n v="15000"/>
    <s v="14400"/>
    <n v="96"/>
    <n v="13100"/>
    <n v="90.972222222222214"/>
    <n v="12900"/>
    <n v="166"/>
    <n v="34"/>
    <n v="0.25954198473282442"/>
    <n v="6000"/>
    <s v="18000"/>
    <n v="37.4"/>
    <n v="60"/>
    <n v="4"/>
    <x v="0"/>
    <n v="0"/>
    <x v="1"/>
    <n v="1"/>
    <s v="IB"/>
    <s v=""/>
  </r>
  <r>
    <x v="12"/>
    <x v="3"/>
    <x v="1"/>
    <x v="3"/>
    <x v="0"/>
    <s v="Capricorn"/>
    <s v="Polokwane"/>
    <s v="FL-004"/>
    <s v="Cobb 500"/>
    <n v="25000"/>
    <s v="24000"/>
    <n v="96"/>
    <n v="22100"/>
    <n v="92.083333333333329"/>
    <n v="21600"/>
    <n v="358"/>
    <n v="142"/>
    <n v="0.64253393665158376"/>
    <n v="10000"/>
    <s v="30000"/>
    <n v="37.5"/>
    <n v="58"/>
    <n v="10"/>
    <x v="0"/>
    <n v="0"/>
    <x v="0"/>
    <n v="0"/>
    <s v="Gumboro"/>
    <s v=""/>
  </r>
  <r>
    <x v="12"/>
    <x v="3"/>
    <x v="1"/>
    <x v="4"/>
    <x v="2"/>
    <s v="Mopani"/>
    <s v="Greater Tzaneen"/>
    <s v="FL-005"/>
    <s v="Ross 308"/>
    <n v="12000"/>
    <s v="11640"/>
    <n v="97"/>
    <n v="10700"/>
    <n v="91.924398625429546"/>
    <n v="10500"/>
    <n v="150"/>
    <n v="50"/>
    <n v="0.46728971962616817"/>
    <n v="4800"/>
    <s v="14400"/>
    <n v="37.5"/>
    <n v="58"/>
    <n v="3"/>
    <x v="0"/>
    <n v="0"/>
    <x v="0"/>
    <n v="0"/>
    <s v="Gumboro+ND"/>
    <s v=""/>
  </r>
  <r>
    <x v="12"/>
    <x v="3"/>
    <x v="1"/>
    <x v="5"/>
    <x v="0"/>
    <s v="Mopani"/>
    <s v="Ba-Phalaborwa"/>
    <s v="FL-006"/>
    <s v="Cobb 500"/>
    <n v="19000"/>
    <s v="18430"/>
    <n v="97"/>
    <n v="16900"/>
    <n v="91.698317959848069"/>
    <n v="16500"/>
    <n v="282"/>
    <n v="118"/>
    <n v="0.69822485207100593"/>
    <n v="7600"/>
    <s v="22800"/>
    <n v="37.6"/>
    <n v="58"/>
    <n v="6"/>
    <x v="0"/>
    <n v="0"/>
    <x v="0"/>
    <n v="0"/>
    <s v="Gumboro"/>
    <s v=""/>
  </r>
  <r>
    <x v="13"/>
    <x v="3"/>
    <x v="1"/>
    <x v="0"/>
    <x v="0"/>
    <s v="Waterberg"/>
    <s v="Lephalale"/>
    <s v="FL-001"/>
    <s v="Ross 308"/>
    <n v="22000"/>
    <s v="20680"/>
    <n v="94"/>
    <n v="18900"/>
    <n v="91.392649903288202"/>
    <n v="18500"/>
    <n v="312"/>
    <n v="88"/>
    <n v="0.46560846560846558"/>
    <n v="8800"/>
    <s v="26400"/>
    <n v="37.700000000000003"/>
    <n v="57"/>
    <n v="12"/>
    <x v="0"/>
    <n v="0"/>
    <x v="0"/>
    <n v="0"/>
    <m/>
    <s v=""/>
  </r>
  <r>
    <x v="13"/>
    <x v="3"/>
    <x v="1"/>
    <x v="1"/>
    <x v="0"/>
    <s v="Waterberg"/>
    <s v="Bela-Bela"/>
    <s v="FL-002"/>
    <s v="Ross 308"/>
    <n v="18500"/>
    <s v="17205"/>
    <n v="93"/>
    <n v="15600"/>
    <n v="90.671316477768087"/>
    <n v="15200"/>
    <n v="308"/>
    <n v="92"/>
    <n v="0.58974358974358976"/>
    <n v="7400"/>
    <s v="22200"/>
    <n v="37.799999999999997"/>
    <n v="56"/>
    <n v="15"/>
    <x v="0"/>
    <n v="0"/>
    <x v="1"/>
    <n v="1"/>
    <m/>
    <s v=""/>
  </r>
  <r>
    <x v="13"/>
    <x v="3"/>
    <x v="1"/>
    <x v="2"/>
    <x v="1"/>
    <s v="Waterberg"/>
    <s v="Mogalakwena"/>
    <s v="FL-003"/>
    <s v="Lohmann Brown"/>
    <n v="15000"/>
    <s v="13950"/>
    <n v="93"/>
    <n v="12550"/>
    <n v="89.964157706093189"/>
    <n v="12350"/>
    <n v="180"/>
    <n v="20"/>
    <n v="0.15936254980079681"/>
    <n v="6000"/>
    <s v="18000"/>
    <n v="37.700000000000003"/>
    <n v="57"/>
    <n v="8"/>
    <x v="0"/>
    <n v="0"/>
    <x v="1"/>
    <n v="1"/>
    <m/>
    <s v=""/>
  </r>
  <r>
    <x v="13"/>
    <x v="3"/>
    <x v="1"/>
    <x v="3"/>
    <x v="0"/>
    <s v="Capricorn"/>
    <s v="Polokwane"/>
    <s v="FL-004"/>
    <s v="Cobb 500"/>
    <n v="25000"/>
    <s v="23250"/>
    <n v="93"/>
    <n v="21100"/>
    <n v="90.752688172043008"/>
    <n v="20600"/>
    <n v="390"/>
    <n v="110"/>
    <n v="0.52132701421800953"/>
    <n v="10000"/>
    <s v="30000"/>
    <n v="37.799999999999997"/>
    <n v="56"/>
    <n v="21"/>
    <x v="0"/>
    <n v="0"/>
    <x v="1"/>
    <n v="1"/>
    <m/>
    <s v="Hatchability below 91 - flag"/>
  </r>
  <r>
    <x v="13"/>
    <x v="3"/>
    <x v="1"/>
    <x v="4"/>
    <x v="2"/>
    <s v="Mopani"/>
    <s v="Greater Tzaneen"/>
    <s v="FL-005"/>
    <s v="Ross 308"/>
    <n v="12000"/>
    <s v="11160"/>
    <n v="93"/>
    <n v="10200"/>
    <n v="91.397849462365585"/>
    <n v="10000"/>
    <n v="165"/>
    <n v="35"/>
    <n v="0.34313725490196079"/>
    <n v="4800"/>
    <s v="14400"/>
    <n v="37.700000000000003"/>
    <n v="56"/>
    <n v="6"/>
    <x v="0"/>
    <n v="0"/>
    <x v="0"/>
    <n v="0"/>
    <m/>
    <s v=""/>
  </r>
  <r>
    <x v="13"/>
    <x v="3"/>
    <x v="1"/>
    <x v="5"/>
    <x v="0"/>
    <s v="Mopani"/>
    <s v="Ba-Phalaborwa"/>
    <s v="FL-006"/>
    <s v="Cobb 500"/>
    <n v="19000"/>
    <s v="17290"/>
    <n v="91"/>
    <n v="15700"/>
    <n v="90.803932909196078"/>
    <n v="15300"/>
    <n v="302"/>
    <n v="98"/>
    <n v="0.62420382165605093"/>
    <n v="7600"/>
    <s v="22800"/>
    <n v="37.9"/>
    <n v="55"/>
    <n v="14"/>
    <x v="1"/>
    <n v="1"/>
    <x v="1"/>
    <n v="1"/>
    <m/>
    <s v="Biosecurity breach - staff entry protocol"/>
  </r>
  <r>
    <x v="14"/>
    <x v="3"/>
    <x v="1"/>
    <x v="0"/>
    <x v="0"/>
    <s v="Waterberg"/>
    <s v="Lephalale"/>
    <s v="FL-001"/>
    <s v="Ross 308"/>
    <n v="22000"/>
    <s v="21120"/>
    <n v="96"/>
    <n v="19400"/>
    <n v="91.856060606060609"/>
    <n v="19000"/>
    <n v="298"/>
    <n v="102"/>
    <n v="0.52577319587628868"/>
    <n v="8800"/>
    <s v="26400"/>
    <n v="37.5"/>
    <n v="59"/>
    <n v="8"/>
    <x v="0"/>
    <n v="0"/>
    <x v="0"/>
    <n v="0"/>
    <m/>
    <s v=""/>
  </r>
  <r>
    <x v="14"/>
    <x v="3"/>
    <x v="1"/>
    <x v="1"/>
    <x v="0"/>
    <s v="Waterberg"/>
    <s v="Bela-Bela"/>
    <s v="FL-002"/>
    <s v="Ross 308"/>
    <n v="18500"/>
    <s v="17575"/>
    <n v="95"/>
    <n v="16000"/>
    <n v="91.038406827880507"/>
    <n v="15600"/>
    <n v="308"/>
    <n v="92"/>
    <n v="0.57499999999999996"/>
    <n v="7400"/>
    <s v="22200"/>
    <n v="37.6"/>
    <n v="58"/>
    <n v="9"/>
    <x v="0"/>
    <n v="0"/>
    <x v="0"/>
    <n v="0"/>
    <m/>
    <s v=""/>
  </r>
  <r>
    <x v="14"/>
    <x v="3"/>
    <x v="1"/>
    <x v="2"/>
    <x v="1"/>
    <s v="Waterberg"/>
    <s v="Mogalakwena"/>
    <s v="FL-003"/>
    <s v="Lohmann Brown"/>
    <n v="15000"/>
    <s v="14250"/>
    <n v="95"/>
    <n v="12900"/>
    <n v="90.526315789473685"/>
    <n v="12700"/>
    <n v="170"/>
    <n v="30"/>
    <n v="0.23255813953488372"/>
    <n v="6000"/>
    <s v="18000"/>
    <n v="37.5"/>
    <n v="59"/>
    <n v="5"/>
    <x v="0"/>
    <n v="0"/>
    <x v="1"/>
    <n v="1"/>
    <m/>
    <s v=""/>
  </r>
  <r>
    <x v="14"/>
    <x v="3"/>
    <x v="1"/>
    <x v="3"/>
    <x v="0"/>
    <s v="Capricorn"/>
    <s v="Polokwane"/>
    <s v="FL-004"/>
    <s v="Cobb 500"/>
    <n v="25000"/>
    <s v="23750"/>
    <n v="95"/>
    <n v="21800"/>
    <n v="91.78947368421052"/>
    <n v="21300"/>
    <n v="370"/>
    <n v="130"/>
    <n v="0.59633027522935778"/>
    <n v="10000"/>
    <s v="30000"/>
    <n v="37.5"/>
    <n v="58"/>
    <n v="12"/>
    <x v="0"/>
    <n v="0"/>
    <x v="0"/>
    <n v="0"/>
    <m/>
    <s v=""/>
  </r>
  <r>
    <x v="14"/>
    <x v="3"/>
    <x v="1"/>
    <x v="4"/>
    <x v="2"/>
    <s v="Mopani"/>
    <s v="Greater Tzaneen"/>
    <s v="FL-005"/>
    <s v="Ross 308"/>
    <n v="12000"/>
    <s v="11520"/>
    <n v="96"/>
    <n v="10600"/>
    <n v="92.013888888888886"/>
    <n v="10400"/>
    <n v="158"/>
    <n v="42"/>
    <n v="0.39622641509433959"/>
    <n v="4800"/>
    <s v="14400"/>
    <n v="37.5"/>
    <n v="58"/>
    <n v="3"/>
    <x v="0"/>
    <n v="0"/>
    <x v="0"/>
    <n v="0"/>
    <m/>
    <s v=""/>
  </r>
  <r>
    <x v="14"/>
    <x v="3"/>
    <x v="1"/>
    <x v="5"/>
    <x v="0"/>
    <s v="Mopani"/>
    <s v="Ba-Phalaborwa"/>
    <s v="FL-006"/>
    <s v="Cobb 500"/>
    <n v="19000"/>
    <s v="18050"/>
    <n v="95"/>
    <n v="16600"/>
    <n v="91.966759002770075"/>
    <n v="16200"/>
    <n v="286"/>
    <n v="114"/>
    <n v="0.68674698795180722"/>
    <n v="7600"/>
    <s v="22800"/>
    <n v="37.6"/>
    <n v="58"/>
    <n v="7"/>
    <x v="0"/>
    <n v="0"/>
    <x v="0"/>
    <n v="0"/>
    <m/>
    <s v=""/>
  </r>
  <r>
    <x v="15"/>
    <x v="3"/>
    <x v="1"/>
    <x v="0"/>
    <x v="0"/>
    <s v="Waterberg"/>
    <s v="Lephalale"/>
    <s v="FL-001"/>
    <s v="Ross 308"/>
    <n v="22000"/>
    <s v="20900"/>
    <n v="95"/>
    <n v="19200"/>
    <n v="91.866028708133967"/>
    <n v="18800"/>
    <n v="302"/>
    <n v="98"/>
    <n v="0.51041666666666663"/>
    <n v="8800"/>
    <s v="26400"/>
    <n v="37.6"/>
    <n v="58"/>
    <n v="11"/>
    <x v="0"/>
    <n v="0"/>
    <x v="0"/>
    <n v="0"/>
    <s v="ND"/>
    <s v=""/>
  </r>
  <r>
    <x v="15"/>
    <x v="3"/>
    <x v="1"/>
    <x v="1"/>
    <x v="0"/>
    <s v="Waterberg"/>
    <s v="Bela-Bela"/>
    <s v="FL-002"/>
    <s v="Ross 308"/>
    <n v="18500"/>
    <s v="17390"/>
    <n v="94"/>
    <n v="15900"/>
    <n v="91.431857389304199"/>
    <n v="15500"/>
    <n v="295"/>
    <n v="105"/>
    <n v="0.66037735849056611"/>
    <n v="7400"/>
    <s v="22200"/>
    <n v="37.6"/>
    <n v="58"/>
    <n v="10"/>
    <x v="0"/>
    <n v="0"/>
    <x v="0"/>
    <n v="0"/>
    <s v="ND"/>
    <s v=""/>
  </r>
  <r>
    <x v="15"/>
    <x v="3"/>
    <x v="1"/>
    <x v="2"/>
    <x v="1"/>
    <s v="Waterberg"/>
    <s v="Mogalakwena"/>
    <s v="FL-003"/>
    <s v="Lohmann Brown"/>
    <n v="15000"/>
    <s v="14100"/>
    <n v="94"/>
    <n v="12800"/>
    <n v="90.780141843971634"/>
    <n v="12600"/>
    <n v="168"/>
    <n v="32"/>
    <n v="0.25"/>
    <n v="6000"/>
    <s v="18000"/>
    <n v="37.5"/>
    <n v="59"/>
    <n v="6"/>
    <x v="0"/>
    <n v="0"/>
    <x v="1"/>
    <n v="1"/>
    <s v="ND+IB"/>
    <s v=""/>
  </r>
  <r>
    <x v="15"/>
    <x v="3"/>
    <x v="1"/>
    <x v="3"/>
    <x v="0"/>
    <s v="Capricorn"/>
    <s v="Polokwane"/>
    <s v="FL-004"/>
    <s v="Cobb 500"/>
    <n v="25000"/>
    <s v="23500"/>
    <n v="94"/>
    <n v="21600"/>
    <n v="91.914893617021278"/>
    <n v="21100"/>
    <n v="372"/>
    <n v="128"/>
    <n v="0.59259259259259256"/>
    <n v="10000"/>
    <s v="30000"/>
    <n v="37.6"/>
    <n v="58"/>
    <n v="14"/>
    <x v="0"/>
    <n v="0"/>
    <x v="0"/>
    <n v="0"/>
    <s v="ND"/>
    <s v=""/>
  </r>
  <r>
    <x v="15"/>
    <x v="3"/>
    <x v="1"/>
    <x v="4"/>
    <x v="2"/>
    <s v="Mopani"/>
    <s v="Greater Tzaneen"/>
    <s v="FL-005"/>
    <s v="Ross 308"/>
    <n v="12000"/>
    <s v="11400"/>
    <n v="95"/>
    <n v="10500"/>
    <n v="92.10526315789474"/>
    <n v="10300"/>
    <n v="158"/>
    <n v="42"/>
    <n v="0.4"/>
    <n v="4800"/>
    <s v="14400"/>
    <n v="37.5"/>
    <n v="58"/>
    <n v="4"/>
    <x v="0"/>
    <n v="0"/>
    <x v="0"/>
    <n v="0"/>
    <s v="ND"/>
    <s v=""/>
  </r>
  <r>
    <x v="15"/>
    <x v="3"/>
    <x v="1"/>
    <x v="5"/>
    <x v="0"/>
    <s v="Mopani"/>
    <s v="Ba-Phalaborwa"/>
    <s v="FL-006"/>
    <s v="Cobb 500"/>
    <n v="19000"/>
    <s v="17860"/>
    <n v="94"/>
    <n v="16400"/>
    <n v="91.82530795072789"/>
    <n v="16000"/>
    <n v="286"/>
    <n v="114"/>
    <n v="0.69512195121951226"/>
    <n v="7600"/>
    <s v="22800"/>
    <n v="37.700000000000003"/>
    <n v="57"/>
    <n v="8"/>
    <x v="0"/>
    <n v="0"/>
    <x v="0"/>
    <n v="0"/>
    <s v="ND"/>
    <s v=""/>
  </r>
  <r>
    <x v="16"/>
    <x v="4"/>
    <x v="1"/>
    <x v="0"/>
    <x v="0"/>
    <s v="Waterberg"/>
    <s v="Lephalale"/>
    <s v="FL-001"/>
    <s v="Ross 308"/>
    <n v="22000"/>
    <s v="21120"/>
    <n v="96"/>
    <n v="19400"/>
    <n v="91.856060606060609"/>
    <n v="19000"/>
    <n v="295"/>
    <n v="105"/>
    <n v="0.54123711340206182"/>
    <n v="8800"/>
    <s v="26400"/>
    <n v="37.5"/>
    <n v="59"/>
    <n v="8"/>
    <x v="0"/>
    <n v="0"/>
    <x v="0"/>
    <n v="0"/>
    <m/>
    <s v=""/>
  </r>
  <r>
    <x v="16"/>
    <x v="4"/>
    <x v="1"/>
    <x v="1"/>
    <x v="0"/>
    <s v="Waterberg"/>
    <s v="Bela-Bela"/>
    <s v="FL-002"/>
    <s v="Ross 308"/>
    <n v="18500"/>
    <s v="17945"/>
    <n v="97"/>
    <n v="16400"/>
    <n v="91.390359431596551"/>
    <n v="16000"/>
    <n v="305"/>
    <n v="95"/>
    <n v="0.57926829268292679"/>
    <n v="7400"/>
    <s v="22200"/>
    <n v="37.5"/>
    <n v="59"/>
    <n v="7"/>
    <x v="0"/>
    <n v="0"/>
    <x v="0"/>
    <n v="0"/>
    <m/>
    <s v=""/>
  </r>
  <r>
    <x v="16"/>
    <x v="4"/>
    <x v="1"/>
    <x v="2"/>
    <x v="1"/>
    <s v="Waterberg"/>
    <s v="Mogalakwena"/>
    <s v="FL-003"/>
    <s v="Lohmann Brown"/>
    <n v="15000"/>
    <s v="14400"/>
    <n v="96"/>
    <n v="13050"/>
    <n v="90.625"/>
    <n v="12850"/>
    <n v="172"/>
    <n v="28"/>
    <n v="0.21455938697318008"/>
    <n v="6000"/>
    <s v="18000"/>
    <n v="37.4"/>
    <n v="60"/>
    <n v="5"/>
    <x v="0"/>
    <n v="0"/>
    <x v="1"/>
    <n v="1"/>
    <m/>
    <s v=""/>
  </r>
  <r>
    <x v="16"/>
    <x v="4"/>
    <x v="1"/>
    <x v="4"/>
    <x v="2"/>
    <s v="Mopani"/>
    <s v="Greater Tzaneen"/>
    <s v="FL-005"/>
    <s v="Ross 308"/>
    <n v="12000"/>
    <s v="11520"/>
    <n v="96"/>
    <n v="10600"/>
    <n v="92.013888888888886"/>
    <n v="10400"/>
    <n v="155"/>
    <n v="45"/>
    <n v="0.42452830188679247"/>
    <n v="4800"/>
    <s v="14400"/>
    <n v="37.5"/>
    <n v="58"/>
    <n v="3"/>
    <x v="0"/>
    <n v="0"/>
    <x v="0"/>
    <n v="0"/>
    <m/>
    <s v=""/>
  </r>
  <r>
    <x v="16"/>
    <x v="4"/>
    <x v="1"/>
    <x v="5"/>
    <x v="0"/>
    <s v="Mopani"/>
    <s v="Ba-Phalaborwa"/>
    <s v="FL-006"/>
    <s v="Cobb 500"/>
    <n v="19000"/>
    <s v="18050"/>
    <n v="95"/>
    <n v="16600"/>
    <n v="91.966759002770075"/>
    <n v="16200"/>
    <n v="282"/>
    <n v="118"/>
    <n v="0.71084337349397586"/>
    <n v="7600"/>
    <s v="22800"/>
    <n v="37.6"/>
    <n v="58"/>
    <n v="7"/>
    <x v="0"/>
    <n v="0"/>
    <x v="0"/>
    <n v="0"/>
    <m/>
    <s v=""/>
  </r>
  <r>
    <x v="17"/>
    <x v="4"/>
    <x v="1"/>
    <x v="0"/>
    <x v="0"/>
    <s v="Waterberg"/>
    <s v="Lephalale"/>
    <s v="FL-001"/>
    <s v="Ross 308"/>
    <n v="22000"/>
    <s v="20680"/>
    <n v="94"/>
    <n v="18900"/>
    <n v="91.392649903288202"/>
    <n v="18500"/>
    <n v="310"/>
    <n v="90"/>
    <n v="0.47619047619047622"/>
    <n v="8800"/>
    <s v="26400"/>
    <n v="37.700000000000003"/>
    <n v="57"/>
    <n v="13"/>
    <x v="0"/>
    <n v="0"/>
    <x v="0"/>
    <n v="0"/>
    <m/>
    <s v=""/>
  </r>
  <r>
    <x v="17"/>
    <x v="4"/>
    <x v="1"/>
    <x v="1"/>
    <x v="0"/>
    <s v="Waterberg"/>
    <s v="Bela-Bela"/>
    <s v="FL-002"/>
    <s v="Ross 308"/>
    <n v="18500"/>
    <s v="17205"/>
    <n v="93"/>
    <n v="15600"/>
    <n v="90.671316477768087"/>
    <n v="15200"/>
    <n v="308"/>
    <n v="92"/>
    <n v="0.58974358974358976"/>
    <n v="7400"/>
    <s v="22200"/>
    <n v="37.799999999999997"/>
    <n v="56"/>
    <n v="16"/>
    <x v="0"/>
    <n v="0"/>
    <x v="1"/>
    <n v="1"/>
    <m/>
    <s v=""/>
  </r>
  <r>
    <x v="17"/>
    <x v="4"/>
    <x v="1"/>
    <x v="2"/>
    <x v="1"/>
    <s v="Waterberg"/>
    <s v="Mogalakwena"/>
    <s v="FL-003"/>
    <s v="Lohmann Brown"/>
    <n v="15000"/>
    <s v="13950"/>
    <n v="93"/>
    <n v="12550"/>
    <n v="89.964157706093189"/>
    <n v="12350"/>
    <n v="182"/>
    <n v="18"/>
    <n v="0.14342629482071714"/>
    <n v="6000"/>
    <s v="18000"/>
    <n v="37.700000000000003"/>
    <n v="57"/>
    <n v="9"/>
    <x v="0"/>
    <n v="0"/>
    <x v="1"/>
    <n v="1"/>
    <m/>
    <s v=""/>
  </r>
  <r>
    <x v="17"/>
    <x v="4"/>
    <x v="1"/>
    <x v="3"/>
    <x v="0"/>
    <s v="Capricorn"/>
    <s v="Polokwane"/>
    <s v="FL-004"/>
    <s v="Cobb 500"/>
    <n v="25000"/>
    <s v="23250"/>
    <n v="93"/>
    <n v="21200"/>
    <n v="91.182795698924735"/>
    <n v="20700"/>
    <n v="385"/>
    <n v="115"/>
    <n v="0.54245283018867918"/>
    <n v="10000"/>
    <s v="30000"/>
    <n v="37.799999999999997"/>
    <n v="56"/>
    <n v="19"/>
    <x v="0"/>
    <n v="0"/>
    <x v="0"/>
    <n v="0"/>
    <m/>
    <s v=""/>
  </r>
  <r>
    <x v="17"/>
    <x v="4"/>
    <x v="1"/>
    <x v="4"/>
    <x v="2"/>
    <s v="Mopani"/>
    <s v="Greater Tzaneen"/>
    <s v="FL-005"/>
    <s v="Ross 308"/>
    <n v="12000"/>
    <s v="11160"/>
    <n v="93"/>
    <n v="10200"/>
    <n v="91.397849462365585"/>
    <n v="10000"/>
    <n v="165"/>
    <n v="35"/>
    <n v="0.34313725490196079"/>
    <n v="4800"/>
    <s v="14400"/>
    <n v="37.700000000000003"/>
    <n v="56"/>
    <n v="7"/>
    <x v="0"/>
    <n v="0"/>
    <x v="0"/>
    <n v="0"/>
    <m/>
    <s v=""/>
  </r>
  <r>
    <x v="17"/>
    <x v="4"/>
    <x v="1"/>
    <x v="5"/>
    <x v="0"/>
    <s v="Mopani"/>
    <s v="Ba-Phalaborwa"/>
    <s v="FL-006"/>
    <s v="Cobb 500"/>
    <n v="19000"/>
    <s v="17290"/>
    <n v="91"/>
    <n v="15800"/>
    <n v="91.382301908617706"/>
    <n v="15400"/>
    <n v="298"/>
    <n v="102"/>
    <n v="0.64556962025316456"/>
    <n v="7600"/>
    <s v="22800"/>
    <n v="37.9"/>
    <n v="55"/>
    <n v="13"/>
    <x v="0"/>
    <n v="0"/>
    <x v="0"/>
    <n v="0"/>
    <m/>
    <s v=""/>
  </r>
  <r>
    <x v="18"/>
    <x v="4"/>
    <x v="1"/>
    <x v="0"/>
    <x v="0"/>
    <s v="Waterberg"/>
    <s v="Lephalale"/>
    <s v="FL-001"/>
    <s v="Ross 308"/>
    <n v="22000"/>
    <s v="21120"/>
    <n v="96"/>
    <n v="19500"/>
    <n v="92.329545454545453"/>
    <n v="19100"/>
    <n v="288"/>
    <n v="112"/>
    <n v="0.57435897435897443"/>
    <n v="8800"/>
    <s v="26400"/>
    <n v="37.5"/>
    <n v="59"/>
    <n v="7"/>
    <x v="0"/>
    <n v="0"/>
    <x v="0"/>
    <n v="0"/>
    <s v="ND"/>
    <s v="District not capitalised"/>
  </r>
  <r>
    <x v="18"/>
    <x v="4"/>
    <x v="1"/>
    <x v="1"/>
    <x v="0"/>
    <s v="Waterberg"/>
    <s v="Bela-Bela"/>
    <s v="FL-002"/>
    <s v="Ross 308"/>
    <n v="18500"/>
    <s v="17945"/>
    <n v="97"/>
    <n v="16500"/>
    <n v="91.947617720813597"/>
    <n v="16100"/>
    <n v="298"/>
    <n v="102"/>
    <n v="0.61818181818181817"/>
    <n v="7400"/>
    <s v="22200"/>
    <n v="37.5"/>
    <n v="59"/>
    <n v="6"/>
    <x v="0"/>
    <n v="0"/>
    <x v="0"/>
    <n v="0"/>
    <s v="ND"/>
    <s v=""/>
  </r>
  <r>
    <x v="18"/>
    <x v="4"/>
    <x v="1"/>
    <x v="2"/>
    <x v="1"/>
    <s v="Waterberg"/>
    <s v="Mogalakwena"/>
    <s v="FL-003"/>
    <s v="Lohmann Brown"/>
    <n v="15000"/>
    <s v="14400"/>
    <n v="96"/>
    <n v="13100"/>
    <n v="90.972222222222214"/>
    <n v="12900"/>
    <n v="165"/>
    <n v="35"/>
    <n v="0.26717557251908397"/>
    <n v="6000"/>
    <s v="18000"/>
    <n v="37.4"/>
    <n v="60"/>
    <n v="4"/>
    <x v="0"/>
    <n v="0"/>
    <x v="1"/>
    <n v="1"/>
    <s v="ND+IB"/>
    <s v=""/>
  </r>
  <r>
    <x v="18"/>
    <x v="4"/>
    <x v="1"/>
    <x v="3"/>
    <x v="0"/>
    <s v="Capricorn"/>
    <s v="Polokwane"/>
    <s v="FL-004"/>
    <s v="Cobb 500"/>
    <n v="25000"/>
    <s v="24000"/>
    <n v="96"/>
    <n v="22100"/>
    <n v="92.083333333333329"/>
    <n v="21600"/>
    <n v="355"/>
    <n v="145"/>
    <n v="0.65610859728506787"/>
    <n v="10000"/>
    <s v="30000"/>
    <n v="37.5"/>
    <n v="58"/>
    <n v="10"/>
    <x v="0"/>
    <n v="0"/>
    <x v="0"/>
    <n v="0"/>
    <s v="ND"/>
    <s v=""/>
  </r>
  <r>
    <x v="18"/>
    <x v="4"/>
    <x v="1"/>
    <x v="4"/>
    <x v="2"/>
    <s v="Mopani"/>
    <s v="Greater Tzaneen"/>
    <s v="FL-005"/>
    <s v="Ross 308"/>
    <n v="12000"/>
    <s v="11640"/>
    <n v="97"/>
    <n v="10700"/>
    <n v="91.924398625429546"/>
    <n v="10500"/>
    <n v="150"/>
    <n v="50"/>
    <n v="0.46728971962616817"/>
    <n v="4800"/>
    <s v="14400"/>
    <n v="37.5"/>
    <n v="58"/>
    <n v="3"/>
    <x v="0"/>
    <n v="0"/>
    <x v="0"/>
    <n v="0"/>
    <s v="ND+Gumboro"/>
    <s v=""/>
  </r>
  <r>
    <x v="18"/>
    <x v="4"/>
    <x v="1"/>
    <x v="5"/>
    <x v="0"/>
    <s v="Mopani"/>
    <s v="Ba-Phalaborwa"/>
    <s v="FL-006"/>
    <s v="Cobb 500"/>
    <n v="19000"/>
    <s v="18430"/>
    <n v="97"/>
    <n v="16900"/>
    <n v="91.698317959848069"/>
    <n v="16500"/>
    <n v="280"/>
    <n v="120"/>
    <n v="0.7100591715976331"/>
    <n v="7600"/>
    <s v="22800"/>
    <n v="37.6"/>
    <n v="58"/>
    <n v="6"/>
    <x v="0"/>
    <n v="0"/>
    <x v="0"/>
    <n v="0"/>
    <s v="ND"/>
    <s v=""/>
  </r>
  <r>
    <x v="19"/>
    <x v="4"/>
    <x v="1"/>
    <x v="0"/>
    <x v="0"/>
    <s v="Waterberg"/>
    <s v="Lephalale"/>
    <s v="FL-001"/>
    <s v="Ross 308"/>
    <n v="22000"/>
    <s v="20900"/>
    <n v="95"/>
    <n v="19200"/>
    <n v="91.866028708133967"/>
    <n v="18800"/>
    <n v="305"/>
    <n v="95"/>
    <n v="0.49479166666666663"/>
    <n v="8800"/>
    <s v="26400"/>
    <n v="37.6"/>
    <n v="58"/>
    <n v="10"/>
    <x v="0"/>
    <n v="0"/>
    <x v="0"/>
    <n v="0"/>
    <m/>
    <s v=""/>
  </r>
  <r>
    <x v="19"/>
    <x v="4"/>
    <x v="1"/>
    <x v="1"/>
    <x v="0"/>
    <s v="Waterberg"/>
    <s v="Bela-Bela"/>
    <s v="FL-002"/>
    <s v="Ross 308"/>
    <n v="18500"/>
    <s v="17390"/>
    <n v="94"/>
    <n v="15900"/>
    <n v="91.431857389304199"/>
    <n v="15500"/>
    <n v="295"/>
    <n v="105"/>
    <n v="0.66037735849056611"/>
    <n v="7400"/>
    <s v="22200"/>
    <n v="37.6"/>
    <n v="58"/>
    <n v="9"/>
    <x v="0"/>
    <n v="0"/>
    <x v="0"/>
    <n v="0"/>
    <m/>
    <s v=""/>
  </r>
  <r>
    <x v="19"/>
    <x v="4"/>
    <x v="1"/>
    <x v="2"/>
    <x v="1"/>
    <s v="Waterberg"/>
    <s v="Mogalakwena"/>
    <s v="FL-003"/>
    <s v="Lohmann Brown"/>
    <n v="15000"/>
    <s v="14100"/>
    <n v="94"/>
    <n v="12800"/>
    <n v="90.780141843971634"/>
    <n v="12600"/>
    <n v="170"/>
    <n v="30"/>
    <n v="0.234375"/>
    <n v="6000"/>
    <s v="18000"/>
    <n v="37.5"/>
    <n v="59"/>
    <n v="6"/>
    <x v="0"/>
    <n v="0"/>
    <x v="1"/>
    <n v="1"/>
    <m/>
    <s v=""/>
  </r>
  <r>
    <x v="19"/>
    <x v="4"/>
    <x v="1"/>
    <x v="3"/>
    <x v="0"/>
    <s v="Capricorn"/>
    <s v="Polokwane"/>
    <s v="FL-004"/>
    <s v="Cobb 500"/>
    <n v="25000"/>
    <s v="23500"/>
    <n v="94"/>
    <n v="21600"/>
    <n v="91.914893617021278"/>
    <n v="21100"/>
    <n v="375"/>
    <n v="125"/>
    <n v="0.57870370370370372"/>
    <n v="10000"/>
    <s v="30000"/>
    <n v="37.6"/>
    <n v="58"/>
    <n v="13"/>
    <x v="0"/>
    <n v="0"/>
    <x v="0"/>
    <n v="0"/>
    <m/>
    <s v=""/>
  </r>
  <r>
    <x v="19"/>
    <x v="4"/>
    <x v="1"/>
    <x v="4"/>
    <x v="2"/>
    <s v="Mopani"/>
    <s v="Greater Tzaneen"/>
    <s v="FL-005"/>
    <s v="Ross 308"/>
    <n v="12000"/>
    <s v="11400"/>
    <n v="95"/>
    <n v="10500"/>
    <n v="92.10526315789474"/>
    <n v="10300"/>
    <n v="158"/>
    <n v="42"/>
    <n v="0.4"/>
    <n v="4800"/>
    <s v="14400"/>
    <n v="37.5"/>
    <n v="58"/>
    <n v="4"/>
    <x v="0"/>
    <n v="0"/>
    <x v="0"/>
    <n v="0"/>
    <m/>
    <s v=""/>
  </r>
  <r>
    <x v="19"/>
    <x v="4"/>
    <x v="1"/>
    <x v="5"/>
    <x v="0"/>
    <s v="Mopani"/>
    <s v="Ba-Phalaborwa"/>
    <s v="FL-006"/>
    <s v="Cobb 500"/>
    <n v="19000"/>
    <s v="17860"/>
    <n v="94"/>
    <n v="16400"/>
    <n v="91.82530795072789"/>
    <n v="16000"/>
    <n v="286"/>
    <n v="114"/>
    <n v="0.69512195121951226"/>
    <n v="7600"/>
    <s v="22800"/>
    <n v="37.700000000000003"/>
    <n v="57"/>
    <n v="8"/>
    <x v="0"/>
    <n v="0"/>
    <x v="0"/>
    <n v="0"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523DB-908E-4798-9D9B-C3DD06827BF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7:B114" firstHeaderRow="1" firstDataRow="1" firstDataCol="1" rowPageCount="1" colPageCount="1"/>
  <pivotFields count="31">
    <pivotField numFmtId="165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axis="axisRow" showAll="0">
      <items count="7">
        <item x="1"/>
        <item x="5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axis="axisPage" multipleItemSelectionAllowed="1" showAll="0">
      <items count="3">
        <item x="1"/>
        <item x="0"/>
        <item t="default"/>
      </items>
    </pivotField>
    <pivotField dataField="1" showAll="0"/>
    <pivotField multipleItemSelectionAllowe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3" hier="-1"/>
  </pageFields>
  <dataFields count="1">
    <dataField name="Biosec Test" fld="24" subtotal="count" baseField="3" baseItem="0"/>
  </dataFields>
  <formats count="1"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4683E-ABA4-414A-9063-432ECC412B9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4:B101" firstHeaderRow="1" firstDataRow="1" firstDataCol="1" rowPageCount="1" colPageCount="1"/>
  <pivotFields count="31">
    <pivotField numFmtId="165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axis="axisRow" showAll="0">
      <items count="7">
        <item x="1"/>
        <item x="5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multipleItemSelectionAllowed="1" showAll="0"/>
    <pivotField showAll="0"/>
    <pivotField axis="axisPage" multipleItemSelectionAllowed="1" showAll="0">
      <items count="4">
        <item m="1" x="2"/>
        <item x="0"/>
        <item x="1"/>
        <item t="default"/>
      </items>
    </pivotField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5" hier="-1"/>
  </pageFields>
  <dataFields count="1">
    <dataField name=" QC Flag Test" fld="26" subtotal="count" baseField="3" baseItem="0"/>
  </dataFields>
  <formats count="1"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0FCB4-612C-4760-8520-FE833AB168F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1:F56" firstHeaderRow="0" firstDataRow="1" firstDataCol="3"/>
  <pivotFields count="31">
    <pivotField compact="0" numFmtId="165" outline="0" subtotalTop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outline="0" subtotalTop="0" showAll="0"/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7">
        <item x="1"/>
        <item x="5"/>
        <item x="0"/>
        <item x="2"/>
        <item x="3"/>
        <item x="4"/>
        <item t="default"/>
      </items>
    </pivotField>
    <pivotField axis="axisRow" compact="0" outline="0" subtotalTop="0" showAll="0">
      <items count="4">
        <item x="2"/>
        <item x="0"/>
        <item x="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numFmtId="2" outline="0" subtotalTop="0" showAll="0"/>
    <pivotField compact="0" outline="0" subtotalTop="0" showAll="0"/>
    <pivotField compact="0" numFmtId="2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3"/>
    <field x="4"/>
    <field x="2"/>
  </rowFields>
  <rowItems count="25">
    <i>
      <x/>
      <x v="1"/>
      <x/>
    </i>
    <i r="2">
      <x v="1"/>
    </i>
    <i t="default" r="1">
      <x v="1"/>
    </i>
    <i t="default">
      <x/>
    </i>
    <i>
      <x v="1"/>
      <x v="1"/>
      <x/>
    </i>
    <i r="2">
      <x v="1"/>
    </i>
    <i t="default" r="1">
      <x v="1"/>
    </i>
    <i t="default">
      <x v="1"/>
    </i>
    <i>
      <x v="2"/>
      <x v="1"/>
      <x/>
    </i>
    <i r="2">
      <x v="1"/>
    </i>
    <i t="default" r="1">
      <x v="1"/>
    </i>
    <i t="default">
      <x v="2"/>
    </i>
    <i>
      <x v="3"/>
      <x v="2"/>
      <x/>
    </i>
    <i r="2">
      <x v="1"/>
    </i>
    <i t="default" r="1">
      <x v="2"/>
    </i>
    <i t="default">
      <x v="3"/>
    </i>
    <i>
      <x v="4"/>
      <x v="1"/>
      <x/>
    </i>
    <i r="2">
      <x v="1"/>
    </i>
    <i t="default" r="1">
      <x v="1"/>
    </i>
    <i t="default">
      <x v="4"/>
    </i>
    <i>
      <x v="5"/>
      <x/>
      <x/>
    </i>
    <i r="2">
      <x v="1"/>
    </i>
    <i t="default" r="1">
      <x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ertility %" fld="11" subtotal="average" baseField="4" baseItem="1" numFmtId="2"/>
    <dataField name="Min" fld="11" subtotal="min" baseField="2" baseItem="0" numFmtId="2"/>
    <dataField name="Max " fld="11" subtotal="max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CF79A-6584-4AD7-BD6A-D1334068CEC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75:H89" firstHeaderRow="0" firstDataRow="1" firstDataCol="1"/>
  <pivotFields count="31">
    <pivotField numFmtId="165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multipleItemSelectionAllowed="1" showAll="0">
      <items count="7">
        <item x="1"/>
        <item h="1" x="5"/>
        <item h="1" x="0"/>
        <item h="1" x="2"/>
        <item h="1" x="3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numFmtId="2" showAll="0"/>
    <pivotField dataField="1" showAll="0"/>
    <pivotField dataField="1" numFmtId="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multipleItemSelectionAllowed="1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23"/>
  </rowFields>
  <rowItems count="14">
    <i>
      <x/>
    </i>
    <i r="1">
      <x/>
    </i>
    <i r="1">
      <x v="1"/>
    </i>
    <i>
      <x v="1"/>
    </i>
    <i r="1">
      <x/>
    </i>
    <i r="1">
      <x v="1"/>
    </i>
    <i>
      <x v="2"/>
    </i>
    <i r="1">
      <x v="1"/>
    </i>
    <i>
      <x v="3"/>
    </i>
    <i r="1">
      <x/>
    </i>
    <i r="1">
      <x v="1"/>
    </i>
    <i>
      <x v="4"/>
    </i>
    <i r="1"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Total Eggs Set" fld="9" baseField="1" baseItem="0"/>
    <dataField name="Total Eggs Hatched" fld="12" baseField="1" baseItem="0"/>
    <dataField name="Avg Hatchability" fld="13" subtotal="average" baseField="1" baseItem="0" numFmtId="2"/>
    <dataField name="1st Grade" fld="14" baseField="1" baseItem="0"/>
    <dataField name="Total Mortalities" fld="22" baseField="1" baseItem="0"/>
    <dataField name="Avg Fertility Rate %" fld="11" subtotal="average" baseField="1" baseItem="0" numFmtId="2"/>
    <dataField name="Biosec Test" fld="24" baseField="1" baseItem="0"/>
  </dataFields>
  <formats count="1"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35265-BE26-4BCD-AE1C-7353B09DB9D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59:H72" firstHeaderRow="0" firstDataRow="1" firstDataCol="2"/>
  <pivotFields count="31">
    <pivotField dataField="1" compact="0" numFmtId="165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/>
    <pivotField compact="0" showAll="0"/>
    <pivotField axis="axisRow" compact="0" showAll="0">
      <items count="7">
        <item x="1"/>
        <item x="5"/>
        <item x="0"/>
        <item x="2"/>
        <item x="3"/>
        <item x="4"/>
        <item t="default"/>
      </items>
    </pivotField>
    <pivotField name="Farm Type" axis="axisRow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dataField="1" compact="0" showAll="0"/>
    <pivotField compact="0" numFmtId="2" showAll="0"/>
    <pivotField dataField="1" compact="0" showAll="0"/>
    <pivotField dataField="1" compact="0" showAll="0"/>
    <pivotField dataField="1"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"/>
    <field x="4"/>
  </rowFields>
  <rowItems count="13">
    <i>
      <x/>
    </i>
    <i r="1">
      <x v="1"/>
    </i>
    <i>
      <x v="1"/>
    </i>
    <i r="1">
      <x v="1"/>
    </i>
    <i>
      <x v="2"/>
    </i>
    <i r="1">
      <x v="1"/>
    </i>
    <i>
      <x v="3"/>
    </i>
    <i r="1">
      <x v="2"/>
    </i>
    <i>
      <x v="4"/>
    </i>
    <i r="1">
      <x v="1"/>
    </i>
    <i>
      <x v="5"/>
    </i>
    <i r="1"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Graded 1st" fld="14" baseField="3" baseItem="0"/>
    <dataField name="Graded 2nd" fld="15" baseField="3" baseItem="0"/>
    <dataField name="Culled" fld="16" baseField="3" baseItem="0"/>
    <dataField name="Total Eggs Hatched" fld="12" baseField="3" baseItem="0"/>
    <dataField name="Avg Cull Rate %" fld="17" subtotal="average" baseField="3" baseItem="0"/>
    <dataField name="Weeks" fld="0" subtotal="count" baseField="3" baseItem="0"/>
  </dataFields>
  <formats count="14">
    <format dxfId="16">
      <pivotArea fieldPosition="0">
        <references count="2">
          <reference field="4294967294" count="1" selected="0">
            <x v="4"/>
          </reference>
          <reference field="3" count="1">
            <x v="0"/>
          </reference>
        </references>
      </pivotArea>
    </format>
    <format dxfId="15">
      <pivotArea fieldPosition="0">
        <references count="3">
          <reference field="4294967294" count="1" selected="0">
            <x v="4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4">
      <pivotArea fieldPosition="0">
        <references count="2">
          <reference field="4294967294" count="1" selected="0">
            <x v="4"/>
          </reference>
          <reference field="3" count="1">
            <x v="1"/>
          </reference>
        </references>
      </pivotArea>
    </format>
    <format dxfId="13">
      <pivotArea fieldPosition="0">
        <references count="3">
          <reference field="4294967294" count="1" selected="0">
            <x v="4"/>
          </reference>
          <reference field="3" count="1" selected="0">
            <x v="1"/>
          </reference>
          <reference field="4" count="1">
            <x v="1"/>
          </reference>
        </references>
      </pivotArea>
    </format>
    <format dxfId="12">
      <pivotArea fieldPosition="0">
        <references count="2">
          <reference field="4294967294" count="1" selected="0">
            <x v="4"/>
          </reference>
          <reference field="3" count="1">
            <x v="2"/>
          </reference>
        </references>
      </pivotArea>
    </format>
    <format dxfId="11">
      <pivotArea fieldPosition="0">
        <references count="3">
          <reference field="4294967294" count="1" selected="0">
            <x v="4"/>
          </reference>
          <reference field="3" count="1" selected="0">
            <x v="2"/>
          </reference>
          <reference field="4" count="1">
            <x v="1"/>
          </reference>
        </references>
      </pivotArea>
    </format>
    <format dxfId="10">
      <pivotArea fieldPosition="0">
        <references count="2">
          <reference field="4294967294" count="1" selected="0">
            <x v="4"/>
          </reference>
          <reference field="3" count="1">
            <x v="3"/>
          </reference>
        </references>
      </pivotArea>
    </format>
    <format dxfId="9">
      <pivotArea fieldPosition="0">
        <references count="3">
          <reference field="4294967294" count="1" selected="0">
            <x v="4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8">
      <pivotArea fieldPosition="0">
        <references count="2">
          <reference field="4294967294" count="1" selected="0">
            <x v="4"/>
          </reference>
          <reference field="3" count="1">
            <x v="4"/>
          </reference>
        </references>
      </pivotArea>
    </format>
    <format dxfId="7">
      <pivotArea fieldPosition="0">
        <references count="3">
          <reference field="4294967294" count="1" selected="0">
            <x v="4"/>
          </reference>
          <reference field="3" count="1" selected="0">
            <x v="4"/>
          </reference>
          <reference field="4" count="1">
            <x v="1"/>
          </reference>
        </references>
      </pivotArea>
    </format>
    <format dxfId="6">
      <pivotArea fieldPosition="0">
        <references count="2">
          <reference field="4294967294" count="1" selected="0">
            <x v="4"/>
          </reference>
          <reference field="3" count="1">
            <x v="5"/>
          </reference>
        </references>
      </pivotArea>
    </format>
    <format dxfId="5">
      <pivotArea fieldPosition="0">
        <references count="3">
          <reference field="4294967294" count="1" selected="0">
            <x v="4"/>
          </reference>
          <reference field="3" count="1" selected="0">
            <x v="5"/>
          </reference>
          <reference field="4" count="1">
            <x v="0"/>
          </reference>
        </references>
      </pivotArea>
    </format>
    <format dxfId="4">
      <pivotArea field="3" grandRow="1" outline="0" axis="axisRow" fieldPosition="0">
        <references count="1">
          <reference field="4294967294" count="1" selected="0">
            <x v="4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11FCB-44C0-4721-B1DA-F408507ED22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F28" firstHeaderRow="0" firstDataRow="1" firstDataCol="3"/>
  <pivotFields count="31">
    <pivotField compact="0" numFmtId="165" outline="0" subtotalTop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outline="0" subtotalTop="0" showAll="0"/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7">
        <item x="1"/>
        <item x="5"/>
        <item x="0"/>
        <item x="2"/>
        <item x="3"/>
        <item x="4"/>
        <item t="default"/>
      </items>
    </pivotField>
    <pivotField axis="axisRow" compact="0" outline="0" subtotalTop="0" showAll="0">
      <items count="4">
        <item x="2"/>
        <item x="0"/>
        <item x="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2" outline="0" subtotalTop="0" showAll="0"/>
    <pivotField compact="0" outline="0" subtotalTop="0" showAll="0"/>
    <pivotField dataField="1" compact="0" numFmtId="2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3"/>
    <field x="4"/>
    <field x="2"/>
  </rowFields>
  <rowItems count="25">
    <i>
      <x/>
      <x v="1"/>
      <x/>
    </i>
    <i r="2">
      <x v="1"/>
    </i>
    <i t="default" r="1">
      <x v="1"/>
    </i>
    <i t="default">
      <x/>
    </i>
    <i>
      <x v="1"/>
      <x v="1"/>
      <x/>
    </i>
    <i r="2">
      <x v="1"/>
    </i>
    <i t="default" r="1">
      <x v="1"/>
    </i>
    <i t="default">
      <x v="1"/>
    </i>
    <i>
      <x v="2"/>
      <x v="1"/>
      <x/>
    </i>
    <i r="2">
      <x v="1"/>
    </i>
    <i t="default" r="1">
      <x v="1"/>
    </i>
    <i t="default">
      <x v="2"/>
    </i>
    <i>
      <x v="3"/>
      <x v="2"/>
      <x/>
    </i>
    <i r="2">
      <x v="1"/>
    </i>
    <i t="default" r="1">
      <x v="2"/>
    </i>
    <i t="default">
      <x v="3"/>
    </i>
    <i>
      <x v="4"/>
      <x v="1"/>
      <x/>
    </i>
    <i r="2">
      <x v="1"/>
    </i>
    <i t="default" r="1">
      <x v="1"/>
    </i>
    <i t="default">
      <x v="4"/>
    </i>
    <i>
      <x v="5"/>
      <x/>
      <x/>
    </i>
    <i r="2">
      <x v="1"/>
    </i>
    <i t="default" r="1">
      <x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Hatchability %" fld="13" subtotal="average" baseField="2" baseItem="0" numFmtId="2"/>
    <dataField name="Min" fld="13" subtotal="min" baseField="2" baseItem="0" numFmtId="2"/>
    <dataField name="Max" fld="13" subtotal="max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C5E0CF-9F0D-4991-9A00-3ADD6AE75D42}" autoFormatId="16" applyNumberFormats="0" applyBorderFormats="0" applyFontFormats="0" applyPatternFormats="0" applyAlignmentFormats="0" applyWidthHeightFormats="0">
  <queryTableRefresh nextId="24">
    <queryTableFields count="23">
      <queryTableField id="1" name="Week_Ending" tableColumnId="1"/>
      <queryTableField id="2" name="Farm_Name" tableColumnId="2"/>
      <queryTableField id="3" name="Farm_Type" tableColumnId="3"/>
      <queryTableField id="4" name="District" tableColumnId="4"/>
      <queryTableField id="5" name="Municipality" tableColumnId="5"/>
      <queryTableField id="6" name="Flock_ID" tableColumnId="6"/>
      <queryTableField id="7" name="Breed" tableColumnId="7"/>
      <queryTableField id="8" name="Eggs_Set" tableColumnId="8"/>
      <queryTableField id="9" name="Eggs_Fertile" tableColumnId="9"/>
      <queryTableField id="10" name="Fertility_Rate_Pct" tableColumnId="10"/>
      <queryTableField id="11" name="Eggs_Hatched" tableColumnId="11"/>
      <queryTableField id="12" name="Hatchability_Pct" tableColumnId="12"/>
      <queryTableField id="13" name="Chicks_Graded_1st" tableColumnId="13"/>
      <queryTableField id="14" name="Chicks_Graded_2nd" tableColumnId="14"/>
      <queryTableField id="15" name="Chicks_Culled" tableColumnId="15"/>
      <queryTableField id="16" name="Feed_Consumed_kg" tableColumnId="16"/>
      <queryTableField id="17" name="Water_Consumed_L" tableColumnId="17"/>
      <queryTableField id="18" name="Avg_Incubation_Temp_C" tableColumnId="18"/>
      <queryTableField id="19" name="Avg_Humidity_Pct" tableColumnId="19"/>
      <queryTableField id="20" name="Mortalities" tableColumnId="20"/>
      <queryTableField id="21" name="Biosecurity_Check" tableColumnId="21"/>
      <queryTableField id="22" name="Vaccine_Given" tableColumnId="22"/>
      <queryTableField id="23" name="Notes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A43C15A-88B1-4D63-A34D-8E3065431D07}" autoFormatId="16" applyNumberFormats="0" applyBorderFormats="0" applyFontFormats="0" applyPatternFormats="0" applyAlignmentFormats="0" applyWidthHeightFormats="0">
  <queryTableRefresh nextId="33">
    <queryTableFields count="29">
      <queryTableField id="1" name="Week_Ending" tableColumnId="1"/>
      <queryTableField id="26" dataBound="0" tableColumnId="24"/>
      <queryTableField id="27" dataBound="0" tableColumnId="25"/>
      <queryTableField id="2" name="Farm_Name" tableColumnId="2"/>
      <queryTableField id="3" name="Farm_Type" tableColumnId="3"/>
      <queryTableField id="4" name="District" tableColumnId="4"/>
      <queryTableField id="5" name="Municipality" tableColumnId="5"/>
      <queryTableField id="6" name="Flock_ID" tableColumnId="6"/>
      <queryTableField id="7" name="Breed" tableColumnId="7"/>
      <queryTableField id="8" name="Eggs_Set" tableColumnId="8"/>
      <queryTableField id="9" name="Eggs_Fertile" tableColumnId="9"/>
      <queryTableField id="10" name="Fertility_Rate_Pct" tableColumnId="10"/>
      <queryTableField id="11" name="Eggs_Hatched" tableColumnId="11"/>
      <queryTableField id="12" name="Hatchability_Pct" tableColumnId="12"/>
      <queryTableField id="13" name="Chicks_Graded_1st" tableColumnId="13"/>
      <queryTableField id="14" name="Chicks_Graded_2nd" tableColumnId="14"/>
      <queryTableField id="15" name="Chicks_Culled" tableColumnId="15"/>
      <queryTableField id="28" dataBound="0" tableColumnId="26"/>
      <queryTableField id="16" name="Feed_Consumed_kg" tableColumnId="16"/>
      <queryTableField id="17" name="Water_Consumed_L" tableColumnId="17"/>
      <queryTableField id="18" name="Avg_Incubation_Temp_C" tableColumnId="18"/>
      <queryTableField id="19" name="Avg_Humidity_Pct" tableColumnId="19"/>
      <queryTableField id="20" name="Mortalities" tableColumnId="20"/>
      <queryTableField id="21" name="Biosecurity_Check" tableColumnId="21"/>
      <queryTableField id="31" dataBound="0" tableColumnId="29"/>
      <queryTableField id="30" dataBound="0" tableColumnId="28"/>
      <queryTableField id="32" dataBound="0" tableColumnId="30"/>
      <queryTableField id="22" name="Vaccine_Given" tableColumnId="22"/>
      <queryTableField id="23" name="Notes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04EB33-5E2F-4837-9CED-62789F7916E7}" name="Limpopo_poultry_hatchery_production_RAW" displayName="Limpopo_poultry_hatchery_production_RAW" ref="A1:W128" tableType="queryTable" totalsRowShown="0">
  <autoFilter ref="A1:W128" xr:uid="{8004EB33-5E2F-4837-9CED-62789F7916E7}"/>
  <tableColumns count="23">
    <tableColumn id="1" xr3:uid="{A7FB4A98-B9D3-460D-AEEF-FD028BAC7B2D}" uniqueName="1" name="Week_Ending" queryTableFieldId="1" dataDxfId="57"/>
    <tableColumn id="2" xr3:uid="{41AC8B2A-7B63-4504-944E-EF48FBC07C96}" uniqueName="2" name="Farm_Name" queryTableFieldId="2" dataDxfId="56"/>
    <tableColumn id="3" xr3:uid="{D4256CC2-9BEB-4FF1-91DA-85EF052769C0}" uniqueName="3" name="Farm_Type" queryTableFieldId="3" dataDxfId="55"/>
    <tableColumn id="4" xr3:uid="{BA4BEE7D-2D6E-43CA-A0F0-26D75B2C6F2B}" uniqueName="4" name="District" queryTableFieldId="4" dataDxfId="54"/>
    <tableColumn id="5" xr3:uid="{FD6DA90D-3E60-460A-87E6-63E9B41F300C}" uniqueName="5" name="Municipality" queryTableFieldId="5" dataDxfId="53"/>
    <tableColumn id="6" xr3:uid="{1885B5AC-14ED-4F3F-9122-613C7BB51281}" uniqueName="6" name="Flock_ID" queryTableFieldId="6" dataDxfId="52"/>
    <tableColumn id="7" xr3:uid="{25C46E55-5407-402C-BFCA-12BF9E839360}" uniqueName="7" name="Breed" queryTableFieldId="7" dataDxfId="51"/>
    <tableColumn id="8" xr3:uid="{8C3EA7E1-2AFE-4F6E-BE88-FF38E55B4509}" uniqueName="8" name="Eggs_Set" queryTableFieldId="8"/>
    <tableColumn id="9" xr3:uid="{8F429C85-EEF9-4AE8-BCBD-46336FBBBF36}" uniqueName="9" name="Eggs_Fertile" queryTableFieldId="9" dataDxfId="50"/>
    <tableColumn id="10" xr3:uid="{87043548-BB85-46F6-BC23-FC750DA06086}" uniqueName="10" name="Fertility_Rate_Pct" queryTableFieldId="10" dataDxfId="49"/>
    <tableColumn id="11" xr3:uid="{B3882798-62E3-4A90-BDB1-7A8AD03F8861}" uniqueName="11" name="Eggs_Hatched" queryTableFieldId="11" dataDxfId="48"/>
    <tableColumn id="12" xr3:uid="{9D2E72EA-0BEE-415F-A686-C26669F97BD1}" uniqueName="12" name="Hatchability_Pct" queryTableFieldId="12" dataDxfId="47"/>
    <tableColumn id="13" xr3:uid="{D105FDE0-1E73-4F29-86B4-4A5F9CC7B49F}" uniqueName="13" name="Chicks_Graded_1st" queryTableFieldId="13"/>
    <tableColumn id="14" xr3:uid="{C5F6FE7C-256C-4606-AC7F-0E6A9E56F723}" uniqueName="14" name="Chicks_Graded_2nd" queryTableFieldId="14"/>
    <tableColumn id="15" xr3:uid="{04A07A50-2C26-433B-91E4-420A8FA76FE1}" uniqueName="15" name="Chicks_Culled" queryTableFieldId="15"/>
    <tableColumn id="16" xr3:uid="{69E4CD0F-4C74-431D-94BA-C5AA009F421F}" uniqueName="16" name="Feed_Consumed_kg" queryTableFieldId="16"/>
    <tableColumn id="17" xr3:uid="{82E31B48-3758-4053-B803-16788FE63A1A}" uniqueName="17" name="Water_Consumed_L" queryTableFieldId="17" dataDxfId="46"/>
    <tableColumn id="18" xr3:uid="{81007A9D-1859-42EB-AE0B-23378DDEE759}" uniqueName="18" name="Avg_Incubation_Temp_C" queryTableFieldId="18" dataDxfId="45"/>
    <tableColumn id="19" xr3:uid="{C7AC1F2D-FEEC-442F-ACA8-9D9876A76069}" uniqueName="19" name="Avg_Humidity_Pct" queryTableFieldId="19"/>
    <tableColumn id="20" xr3:uid="{A1EA0085-0B37-464C-BA95-3D7002E5D3BB}" uniqueName="20" name="Mortalities" queryTableFieldId="20" dataDxfId="44"/>
    <tableColumn id="21" xr3:uid="{8AB8AB31-6ADC-4653-82E7-FCE887F4FDC2}" uniqueName="21" name="Biosecurity_Check" queryTableFieldId="21" dataDxfId="43"/>
    <tableColumn id="22" xr3:uid="{BB82B21E-504C-4CF9-99C7-0401230EC41F}" uniqueName="22" name="Vaccine_Given" queryTableFieldId="22" dataDxfId="42"/>
    <tableColumn id="23" xr3:uid="{2B84267F-9654-42F2-927F-BC19C862EF6A}" uniqueName="23" name="Notes" queryTableFieldId="23" dataDxfId="4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F45975-AD14-44EE-BD91-A7EC7C6D9BA8}" name="Limpopo_poultry_hatchery_production_RAW3" displayName="Limpopo_poultry_hatchery_production_RAW3" ref="A1:AC119" tableType="queryTable" totalsRowShown="0">
  <autoFilter ref="A1:AC119" xr:uid="{33F45975-AD14-44EE-BD91-A7EC7C6D9BA8}"/>
  <tableColumns count="29">
    <tableColumn id="1" xr3:uid="{0F757057-6A73-48E8-8D3A-B33E9260295B}" uniqueName="1" name="Week_Ending" queryTableFieldId="1" dataDxfId="40"/>
    <tableColumn id="24" xr3:uid="{1735AD9D-C3F5-4954-B27B-825BB1950606}" uniqueName="24" name="Month" queryTableFieldId="26" dataDxfId="39">
      <calculatedColumnFormula>TEXT(Limpopo_poultry_hatchery_production_RAW3[[#This Row],[Week_Ending]], "mmm")</calculatedColumnFormula>
    </tableColumn>
    <tableColumn id="25" xr3:uid="{EBFD5784-C6E5-4B97-AD50-CE21337540CD}" uniqueName="25" name="Quarter" queryTableFieldId="27" dataDxfId="38">
      <calculatedColumnFormula>IF(OR(Limpopo_poultry_hatchery_production_RAW3[[#This Row],[Month]]="Jan", Limpopo_poultry_hatchery_production_RAW3[[#This Row],[Month]]="Feb", Limpopo_poultry_hatchery_production_RAW3[[#This Row],[Month]]="Mar"), "Q1", "Q2")</calculatedColumnFormula>
    </tableColumn>
    <tableColumn id="2" xr3:uid="{15080E30-B4FF-4D68-A533-B1C89D5818FA}" uniqueName="2" name="Farm_Name" queryTableFieldId="2" dataDxfId="37"/>
    <tableColumn id="3" xr3:uid="{29CC95A8-E5A2-4AE6-9945-601512E8B7C0}" uniqueName="3" name="Farm_Type" queryTableFieldId="3" dataDxfId="36"/>
    <tableColumn id="4" xr3:uid="{F0E7A000-6CC9-4F64-ADD9-F1A4D998E49A}" uniqueName="4" name="District" queryTableFieldId="4" dataDxfId="35"/>
    <tableColumn id="5" xr3:uid="{103C0088-CBB4-4499-AE20-8D48A65B761F}" uniqueName="5" name="Municipality" queryTableFieldId="5" dataDxfId="34"/>
    <tableColumn id="6" xr3:uid="{0842EB29-06FB-4F14-BD8C-FC71E0F075FB}" uniqueName="6" name="Flock_ID" queryTableFieldId="6" dataDxfId="33"/>
    <tableColumn id="7" xr3:uid="{C03874F6-E650-4F4A-9B67-FEAEE51A715A}" uniqueName="7" name="Breed" queryTableFieldId="7" dataDxfId="32"/>
    <tableColumn id="8" xr3:uid="{F0BBAA31-8853-449B-AD16-F2C8DDDB500B}" uniqueName="8" name="Eggs_Set" queryTableFieldId="8"/>
    <tableColumn id="9" xr3:uid="{0551D0DD-03C5-489F-B405-6D8D1319420D}" uniqueName="9" name="Eggs_Fertile" queryTableFieldId="9" dataDxfId="31"/>
    <tableColumn id="10" xr3:uid="{B0B08326-E28E-41D1-80A3-0534CA7D8CBC}" uniqueName="10" name="Fertility_Rate_Pct" queryTableFieldId="10" dataDxfId="30"/>
    <tableColumn id="11" xr3:uid="{D1FA39C7-D4F4-4EF9-A08C-4B6536CBA1B9}" uniqueName="11" name="Eggs_Hatched" queryTableFieldId="11" dataDxfId="29"/>
    <tableColumn id="12" xr3:uid="{2DB3D446-982C-464C-B10F-89045FBBBB68}" uniqueName="12" name="Hatchability_Pct" queryTableFieldId="12" dataDxfId="28"/>
    <tableColumn id="13" xr3:uid="{FE47EB6C-3F27-4CB9-9CB7-5CA4D8F404B0}" uniqueName="13" name="Chicks_Graded_1st" queryTableFieldId="13"/>
    <tableColumn id="14" xr3:uid="{DA8DB079-F348-4E9C-BA66-D9E0344944EA}" uniqueName="14" name="Chicks_Graded_2nd" queryTableFieldId="14"/>
    <tableColumn id="15" xr3:uid="{49C7CA7C-FEFC-4B30-B5A7-E6FA1D6CF5CE}" uniqueName="15" name="Chicks_Culled" queryTableFieldId="15"/>
    <tableColumn id="26" xr3:uid="{367053FE-9F79-45B8-BE5B-6DA1A6B03159}" uniqueName="26" name="Cull Rate %" queryTableFieldId="28" dataDxfId="27">
      <calculatedColumnFormula>(Limpopo_poultry_hatchery_production_RAW3[[#This Row],[Chicks_Culled]]/Limpopo_poultry_hatchery_production_RAW3[[#This Row],[Eggs_Hatched]])*100</calculatedColumnFormula>
    </tableColumn>
    <tableColumn id="16" xr3:uid="{0AB66171-C162-49C6-B71D-54C248D92D8C}" uniqueName="16" name="Feed_Consumed_kg" queryTableFieldId="16" dataDxfId="26"/>
    <tableColumn id="17" xr3:uid="{873C3C79-7840-4377-8CA9-020F412C9D0C}" uniqueName="17" name="Water_Consumed_L" queryTableFieldId="17" dataDxfId="25"/>
    <tableColumn id="18" xr3:uid="{C04BA115-1143-4CEC-A25C-61E52E21FC17}" uniqueName="18" name="Avg_Incubation_Temp_C" queryTableFieldId="18" dataDxfId="24"/>
    <tableColumn id="19" xr3:uid="{B016444E-5E7E-4673-8071-208FBEFD56F7}" uniqueName="19" name="Avg_Humidity_Pct" queryTableFieldId="19"/>
    <tableColumn id="20" xr3:uid="{2940101A-F713-473E-BB47-7E686F83F688}" uniqueName="20" name="Mortalities" queryTableFieldId="20" dataDxfId="23"/>
    <tableColumn id="21" xr3:uid="{F109F97F-F12F-4762-AC69-6EADBC3D2AFD}" uniqueName="21" name="Biosecurity_Check" queryTableFieldId="21" dataDxfId="22"/>
    <tableColumn id="29" xr3:uid="{FC860C61-C562-468D-AD61-EADE4E6E48AE}" uniqueName="29" name="Bio Sec Test" queryTableFieldId="31" dataDxfId="21">
      <calculatedColumnFormula>IF(Limpopo_poultry_hatchery_production_RAW3[[#This Row],[Biosecurity_Check]]="Pass",0,1)</calculatedColumnFormula>
    </tableColumn>
    <tableColumn id="28" xr3:uid="{A3A6DEEC-2C1C-4BCC-8C2E-60A38E9778C0}" uniqueName="28" name="QC Flag" queryTableFieldId="30" dataDxfId="20">
      <calculatedColumnFormula>IF(Limpopo_poultry_hatchery_production_RAW3[[#This Row],[Hatchability_Pct]]&lt;91, "⚠ Low Hatchability","√ OK")</calculatedColumnFormula>
    </tableColumn>
    <tableColumn id="30" xr3:uid="{2B65632A-E413-4BF3-90FC-CF7FF363B915}" uniqueName="30" name="QC Flag Test" queryTableFieldId="32" dataDxfId="19">
      <calculatedColumnFormula>IF(Limpopo_poultry_hatchery_production_RAW3[[#This Row],[QC Flag]]="√ OK", 0, 1)</calculatedColumnFormula>
    </tableColumn>
    <tableColumn id="22" xr3:uid="{3B87EF1E-1A9E-4754-B47F-1F85E67C8026}" uniqueName="22" name="Vaccine_Given" queryTableFieldId="22" dataDxfId="18"/>
    <tableColumn id="23" xr3:uid="{92690514-7595-4B2F-B3E6-A9AE7633283E}" uniqueName="23" name="Notes" queryTableFieldId="23" dataDxfId="1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D6923F-C171-450B-A91A-0F3391966C7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878d7ed-7882-4782-baf3-a328709dde8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C252-3F4F-43C9-BB80-36C73938918E}">
  <dimension ref="A1:W128"/>
  <sheetViews>
    <sheetView zoomScale="90" zoomScaleNormal="90" workbookViewId="0">
      <selection activeCell="L126" sqref="L126"/>
    </sheetView>
  </sheetViews>
  <sheetFormatPr defaultRowHeight="15" x14ac:dyDescent="0.25"/>
  <cols>
    <col min="1" max="1" width="15.5703125" bestFit="1" customWidth="1"/>
    <col min="2" max="2" width="23.28515625" bestFit="1" customWidth="1"/>
    <col min="3" max="3" width="12.85546875" bestFit="1" customWidth="1"/>
    <col min="4" max="4" width="10" bestFit="1" customWidth="1"/>
    <col min="5" max="5" width="15.28515625" bestFit="1" customWidth="1"/>
    <col min="6" max="6" width="10.85546875" bestFit="1" customWidth="1"/>
    <col min="7" max="7" width="15.42578125" bestFit="1" customWidth="1"/>
    <col min="8" max="8" width="11.28515625" bestFit="1" customWidth="1"/>
    <col min="9" max="9" width="14.140625" bestFit="1" customWidth="1"/>
    <col min="10" max="10" width="19.140625" bestFit="1" customWidth="1"/>
    <col min="11" max="11" width="16" bestFit="1" customWidth="1"/>
    <col min="12" max="12" width="18" bestFit="1" customWidth="1"/>
    <col min="13" max="13" width="20.7109375" bestFit="1" customWidth="1"/>
    <col min="14" max="14" width="21.28515625" bestFit="1" customWidth="1"/>
    <col min="15" max="15" width="16.42578125" bestFit="1" customWidth="1"/>
    <col min="16" max="17" width="21.5703125" bestFit="1" customWidth="1"/>
    <col min="18" max="18" width="25.42578125" bestFit="1" customWidth="1"/>
    <col min="19" max="19" width="19.5703125" bestFit="1" customWidth="1"/>
    <col min="20" max="20" width="13" bestFit="1" customWidth="1"/>
    <col min="21" max="21" width="20.28515625" bestFit="1" customWidth="1"/>
    <col min="22" max="22" width="48.28515625" bestFit="1" customWidth="1"/>
    <col min="23" max="23" width="58.28515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22000</v>
      </c>
      <c r="I2" t="s">
        <v>30</v>
      </c>
      <c r="J2" t="s">
        <v>31</v>
      </c>
      <c r="K2" t="s">
        <v>32</v>
      </c>
      <c r="L2" t="s">
        <v>33</v>
      </c>
      <c r="M2">
        <v>18800</v>
      </c>
      <c r="N2">
        <v>320</v>
      </c>
      <c r="O2">
        <v>80</v>
      </c>
      <c r="P2">
        <v>8800</v>
      </c>
      <c r="Q2" t="s">
        <v>34</v>
      </c>
      <c r="R2" t="s">
        <v>35</v>
      </c>
      <c r="S2">
        <v>58</v>
      </c>
      <c r="T2" t="s">
        <v>36</v>
      </c>
      <c r="U2" t="s">
        <v>37</v>
      </c>
      <c r="V2" t="s">
        <v>38</v>
      </c>
      <c r="W2" t="s">
        <v>39</v>
      </c>
    </row>
    <row r="3" spans="1:23" x14ac:dyDescent="0.25">
      <c r="A3" t="s">
        <v>23</v>
      </c>
      <c r="B3" t="s">
        <v>40</v>
      </c>
      <c r="C3" t="s">
        <v>25</v>
      </c>
      <c r="D3" t="s">
        <v>26</v>
      </c>
      <c r="E3" t="s">
        <v>41</v>
      </c>
      <c r="F3" t="s">
        <v>42</v>
      </c>
      <c r="G3" t="s">
        <v>29</v>
      </c>
      <c r="H3">
        <v>18500</v>
      </c>
      <c r="I3" t="s">
        <v>43</v>
      </c>
      <c r="J3" t="s">
        <v>44</v>
      </c>
      <c r="K3" t="s">
        <v>45</v>
      </c>
      <c r="L3" t="s">
        <v>46</v>
      </c>
      <c r="M3">
        <v>15500</v>
      </c>
      <c r="N3">
        <v>280</v>
      </c>
      <c r="O3">
        <v>120</v>
      </c>
      <c r="P3">
        <v>7400</v>
      </c>
      <c r="Q3" t="s">
        <v>47</v>
      </c>
      <c r="R3" t="s">
        <v>48</v>
      </c>
      <c r="S3">
        <v>57</v>
      </c>
      <c r="T3" t="s">
        <v>49</v>
      </c>
      <c r="U3" t="s">
        <v>37</v>
      </c>
      <c r="V3" t="s">
        <v>38</v>
      </c>
      <c r="W3" t="s">
        <v>39</v>
      </c>
    </row>
    <row r="4" spans="1:23" x14ac:dyDescent="0.25">
      <c r="A4" t="s">
        <v>23</v>
      </c>
      <c r="B4" t="s">
        <v>50</v>
      </c>
      <c r="C4" t="s">
        <v>51</v>
      </c>
      <c r="D4" t="s">
        <v>26</v>
      </c>
      <c r="E4" t="s">
        <v>52</v>
      </c>
      <c r="F4" t="s">
        <v>53</v>
      </c>
      <c r="G4" t="s">
        <v>54</v>
      </c>
      <c r="H4">
        <v>15000</v>
      </c>
      <c r="I4" t="s">
        <v>55</v>
      </c>
      <c r="J4" t="s">
        <v>44</v>
      </c>
      <c r="K4" t="s">
        <v>56</v>
      </c>
      <c r="L4" t="s">
        <v>57</v>
      </c>
      <c r="M4">
        <v>12600</v>
      </c>
      <c r="N4">
        <v>150</v>
      </c>
      <c r="O4">
        <v>50</v>
      </c>
      <c r="P4">
        <v>6000</v>
      </c>
      <c r="Q4" t="s">
        <v>58</v>
      </c>
      <c r="R4" t="s">
        <v>59</v>
      </c>
      <c r="S4">
        <v>59</v>
      </c>
      <c r="T4" t="s">
        <v>60</v>
      </c>
      <c r="U4" t="s">
        <v>37</v>
      </c>
      <c r="V4" t="s">
        <v>61</v>
      </c>
      <c r="W4" t="s">
        <v>39</v>
      </c>
    </row>
    <row r="5" spans="1:23" x14ac:dyDescent="0.25">
      <c r="A5" t="s">
        <v>23</v>
      </c>
      <c r="B5" t="s">
        <v>62</v>
      </c>
      <c r="C5" t="s">
        <v>25</v>
      </c>
      <c r="D5" t="s">
        <v>63</v>
      </c>
      <c r="E5" t="s">
        <v>64</v>
      </c>
      <c r="F5" t="s">
        <v>65</v>
      </c>
      <c r="G5" t="s">
        <v>66</v>
      </c>
      <c r="H5">
        <v>25000</v>
      </c>
      <c r="I5" t="s">
        <v>67</v>
      </c>
      <c r="J5" t="s">
        <v>44</v>
      </c>
      <c r="K5" t="s">
        <v>68</v>
      </c>
      <c r="L5" t="s">
        <v>33</v>
      </c>
      <c r="M5">
        <v>21100</v>
      </c>
      <c r="N5">
        <v>380</v>
      </c>
      <c r="O5">
        <v>120</v>
      </c>
      <c r="P5">
        <v>10000</v>
      </c>
      <c r="Q5" t="s">
        <v>69</v>
      </c>
      <c r="R5" t="s">
        <v>35</v>
      </c>
      <c r="S5">
        <v>58</v>
      </c>
      <c r="T5" t="s">
        <v>70</v>
      </c>
      <c r="U5" t="s">
        <v>71</v>
      </c>
      <c r="V5" t="s">
        <v>38</v>
      </c>
      <c r="W5" t="s">
        <v>340</v>
      </c>
    </row>
    <row r="6" spans="1:23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29</v>
      </c>
      <c r="H6">
        <v>12000</v>
      </c>
      <c r="I6" t="s">
        <v>78</v>
      </c>
      <c r="J6" t="s">
        <v>31</v>
      </c>
      <c r="K6" t="s">
        <v>79</v>
      </c>
      <c r="L6" t="s">
        <v>80</v>
      </c>
      <c r="M6">
        <v>10300</v>
      </c>
      <c r="N6">
        <v>150</v>
      </c>
      <c r="O6">
        <v>50</v>
      </c>
      <c r="P6">
        <v>4800</v>
      </c>
      <c r="Q6" t="s">
        <v>81</v>
      </c>
      <c r="R6" t="s">
        <v>59</v>
      </c>
      <c r="S6">
        <v>58</v>
      </c>
      <c r="T6" t="s">
        <v>82</v>
      </c>
      <c r="U6" t="s">
        <v>37</v>
      </c>
      <c r="V6" t="s">
        <v>83</v>
      </c>
      <c r="W6" t="s">
        <v>84</v>
      </c>
    </row>
    <row r="7" spans="1:23" x14ac:dyDescent="0.25">
      <c r="A7" t="s">
        <v>23</v>
      </c>
      <c r="B7" t="s">
        <v>85</v>
      </c>
      <c r="C7" t="s">
        <v>25</v>
      </c>
      <c r="D7" t="s">
        <v>75</v>
      </c>
      <c r="E7" t="s">
        <v>86</v>
      </c>
      <c r="F7" t="s">
        <v>87</v>
      </c>
      <c r="G7" t="s">
        <v>66</v>
      </c>
      <c r="H7">
        <v>19000</v>
      </c>
      <c r="I7" t="s">
        <v>88</v>
      </c>
      <c r="J7" t="s">
        <v>44</v>
      </c>
      <c r="K7" t="s">
        <v>89</v>
      </c>
      <c r="L7" t="s">
        <v>90</v>
      </c>
      <c r="M7">
        <v>16000</v>
      </c>
      <c r="N7">
        <v>290</v>
      </c>
      <c r="O7">
        <v>110</v>
      </c>
      <c r="P7">
        <v>7600</v>
      </c>
      <c r="Q7" t="s">
        <v>91</v>
      </c>
      <c r="R7" t="s">
        <v>48</v>
      </c>
      <c r="S7">
        <v>57</v>
      </c>
      <c r="T7" t="s">
        <v>92</v>
      </c>
      <c r="U7" t="s">
        <v>37</v>
      </c>
      <c r="V7" t="s">
        <v>38</v>
      </c>
      <c r="W7" t="s">
        <v>39</v>
      </c>
    </row>
    <row r="8" spans="1:23" x14ac:dyDescent="0.25">
      <c r="A8" t="s">
        <v>93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>
        <v>22000</v>
      </c>
      <c r="I8" t="s">
        <v>94</v>
      </c>
      <c r="J8" t="s">
        <v>95</v>
      </c>
      <c r="K8" t="s">
        <v>96</v>
      </c>
      <c r="L8" t="s">
        <v>33</v>
      </c>
      <c r="M8">
        <v>19000</v>
      </c>
      <c r="N8">
        <v>300</v>
      </c>
      <c r="O8">
        <v>100</v>
      </c>
      <c r="P8">
        <v>8800</v>
      </c>
      <c r="Q8" t="s">
        <v>34</v>
      </c>
      <c r="R8" t="s">
        <v>35</v>
      </c>
      <c r="S8">
        <v>58</v>
      </c>
      <c r="T8" t="s">
        <v>97</v>
      </c>
      <c r="U8" t="s">
        <v>37</v>
      </c>
      <c r="V8" t="s">
        <v>98</v>
      </c>
      <c r="W8" t="s">
        <v>39</v>
      </c>
    </row>
    <row r="9" spans="1:23" x14ac:dyDescent="0.25">
      <c r="A9" t="s">
        <v>93</v>
      </c>
      <c r="B9" t="s">
        <v>40</v>
      </c>
      <c r="C9" t="s">
        <v>25</v>
      </c>
      <c r="D9" t="s">
        <v>26</v>
      </c>
      <c r="E9" t="s">
        <v>41</v>
      </c>
      <c r="F9" t="s">
        <v>42</v>
      </c>
      <c r="G9" t="s">
        <v>29</v>
      </c>
      <c r="H9">
        <v>18500</v>
      </c>
      <c r="I9" t="s">
        <v>43</v>
      </c>
      <c r="J9" t="s">
        <v>44</v>
      </c>
      <c r="K9" t="s">
        <v>99</v>
      </c>
      <c r="L9" t="s">
        <v>57</v>
      </c>
      <c r="M9">
        <v>15400</v>
      </c>
      <c r="N9">
        <v>290</v>
      </c>
      <c r="O9">
        <v>110</v>
      </c>
      <c r="P9">
        <v>7400</v>
      </c>
      <c r="Q9" t="s">
        <v>47</v>
      </c>
      <c r="R9" t="s">
        <v>100</v>
      </c>
      <c r="S9">
        <v>56</v>
      </c>
      <c r="T9" t="s">
        <v>101</v>
      </c>
      <c r="U9" t="s">
        <v>37</v>
      </c>
      <c r="V9" t="s">
        <v>98</v>
      </c>
      <c r="W9" t="s">
        <v>39</v>
      </c>
    </row>
    <row r="10" spans="1:23" x14ac:dyDescent="0.25">
      <c r="A10" t="s">
        <v>93</v>
      </c>
      <c r="B10" t="s">
        <v>50</v>
      </c>
      <c r="C10" t="s">
        <v>51</v>
      </c>
      <c r="D10" t="s">
        <v>26</v>
      </c>
      <c r="E10" t="s">
        <v>52</v>
      </c>
      <c r="F10" t="s">
        <v>53</v>
      </c>
      <c r="G10" t="s">
        <v>102</v>
      </c>
      <c r="H10">
        <v>15000</v>
      </c>
      <c r="I10" t="s">
        <v>103</v>
      </c>
      <c r="J10" t="s">
        <v>31</v>
      </c>
      <c r="K10" t="s">
        <v>104</v>
      </c>
      <c r="L10" t="s">
        <v>105</v>
      </c>
      <c r="M10">
        <v>12750</v>
      </c>
      <c r="N10">
        <v>160</v>
      </c>
      <c r="O10">
        <v>40</v>
      </c>
      <c r="P10">
        <v>6000</v>
      </c>
      <c r="Q10" t="s">
        <v>58</v>
      </c>
      <c r="R10" t="s">
        <v>59</v>
      </c>
      <c r="S10">
        <v>59</v>
      </c>
      <c r="T10" t="s">
        <v>106</v>
      </c>
      <c r="U10" t="s">
        <v>37</v>
      </c>
      <c r="V10" t="s">
        <v>98</v>
      </c>
      <c r="W10" t="s">
        <v>107</v>
      </c>
    </row>
    <row r="11" spans="1:23" x14ac:dyDescent="0.25">
      <c r="A11" t="s">
        <v>93</v>
      </c>
      <c r="B11" t="s">
        <v>62</v>
      </c>
      <c r="C11" t="s">
        <v>25</v>
      </c>
      <c r="D11" t="s">
        <v>63</v>
      </c>
      <c r="E11" t="s">
        <v>64</v>
      </c>
      <c r="F11" t="s">
        <v>65</v>
      </c>
      <c r="G11" t="s">
        <v>66</v>
      </c>
      <c r="H11">
        <v>25000</v>
      </c>
      <c r="I11" t="s">
        <v>108</v>
      </c>
      <c r="J11" t="s">
        <v>31</v>
      </c>
      <c r="K11" t="s">
        <v>109</v>
      </c>
      <c r="L11" t="s">
        <v>90</v>
      </c>
      <c r="M11">
        <v>21300</v>
      </c>
      <c r="N11">
        <v>370</v>
      </c>
      <c r="O11">
        <v>130</v>
      </c>
      <c r="P11">
        <v>10000</v>
      </c>
      <c r="Q11" t="s">
        <v>69</v>
      </c>
      <c r="R11" t="s">
        <v>59</v>
      </c>
      <c r="S11">
        <v>58</v>
      </c>
      <c r="T11" t="s">
        <v>110</v>
      </c>
      <c r="U11" t="s">
        <v>37</v>
      </c>
      <c r="V11" t="s">
        <v>98</v>
      </c>
      <c r="W11" t="s">
        <v>39</v>
      </c>
    </row>
    <row r="12" spans="1:23" x14ac:dyDescent="0.25">
      <c r="A12" t="s">
        <v>111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29</v>
      </c>
      <c r="H12">
        <v>12000</v>
      </c>
      <c r="I12" t="s">
        <v>112</v>
      </c>
      <c r="J12" t="s">
        <v>95</v>
      </c>
      <c r="K12" t="s">
        <v>113</v>
      </c>
      <c r="L12" t="s">
        <v>114</v>
      </c>
      <c r="M12">
        <v>10400</v>
      </c>
      <c r="N12">
        <v>160</v>
      </c>
      <c r="O12">
        <v>40</v>
      </c>
      <c r="P12">
        <v>4800</v>
      </c>
      <c r="Q12" t="s">
        <v>81</v>
      </c>
      <c r="R12" t="s">
        <v>59</v>
      </c>
      <c r="S12">
        <v>58</v>
      </c>
      <c r="T12" t="s">
        <v>106</v>
      </c>
      <c r="U12" t="s">
        <v>37</v>
      </c>
      <c r="V12" t="s">
        <v>98</v>
      </c>
      <c r="W12" t="s">
        <v>115</v>
      </c>
    </row>
    <row r="13" spans="1:23" x14ac:dyDescent="0.25">
      <c r="A13" t="s">
        <v>93</v>
      </c>
      <c r="B13" t="s">
        <v>85</v>
      </c>
      <c r="C13" t="s">
        <v>25</v>
      </c>
      <c r="D13" t="s">
        <v>75</v>
      </c>
      <c r="E13" t="s">
        <v>86</v>
      </c>
      <c r="F13" t="s">
        <v>87</v>
      </c>
      <c r="G13" t="s">
        <v>66</v>
      </c>
      <c r="H13">
        <v>19000</v>
      </c>
      <c r="I13" t="s">
        <v>88</v>
      </c>
      <c r="J13" t="s">
        <v>44</v>
      </c>
      <c r="K13" t="s">
        <v>116</v>
      </c>
      <c r="L13" t="s">
        <v>117</v>
      </c>
      <c r="M13">
        <v>15900</v>
      </c>
      <c r="N13">
        <v>295</v>
      </c>
      <c r="O13">
        <v>105</v>
      </c>
      <c r="P13">
        <v>7600</v>
      </c>
      <c r="Q13" t="s">
        <v>91</v>
      </c>
      <c r="R13" t="s">
        <v>48</v>
      </c>
      <c r="S13">
        <v>57</v>
      </c>
      <c r="T13" t="s">
        <v>49</v>
      </c>
      <c r="U13" t="s">
        <v>37</v>
      </c>
      <c r="V13" t="s">
        <v>98</v>
      </c>
      <c r="W13" t="s">
        <v>39</v>
      </c>
    </row>
    <row r="14" spans="1:23" x14ac:dyDescent="0.25">
      <c r="A14" t="s">
        <v>118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>
        <v>22000</v>
      </c>
      <c r="I14" t="s">
        <v>119</v>
      </c>
      <c r="J14" t="s">
        <v>44</v>
      </c>
      <c r="K14" t="s">
        <v>120</v>
      </c>
      <c r="L14" t="s">
        <v>46</v>
      </c>
      <c r="M14">
        <v>18500</v>
      </c>
      <c r="N14">
        <v>310</v>
      </c>
      <c r="O14">
        <v>90</v>
      </c>
      <c r="P14">
        <v>8800</v>
      </c>
      <c r="Q14" t="s">
        <v>34</v>
      </c>
      <c r="R14" t="s">
        <v>48</v>
      </c>
      <c r="S14">
        <v>57</v>
      </c>
      <c r="T14" t="s">
        <v>121</v>
      </c>
      <c r="U14" t="s">
        <v>37</v>
      </c>
      <c r="V14" t="s">
        <v>98</v>
      </c>
      <c r="W14" t="s">
        <v>39</v>
      </c>
    </row>
    <row r="15" spans="1:23" x14ac:dyDescent="0.25">
      <c r="A15" t="s">
        <v>118</v>
      </c>
      <c r="B15" t="s">
        <v>40</v>
      </c>
      <c r="C15" t="s">
        <v>25</v>
      </c>
      <c r="D15" t="s">
        <v>26</v>
      </c>
      <c r="E15" t="s">
        <v>41</v>
      </c>
      <c r="F15" t="s">
        <v>42</v>
      </c>
      <c r="G15" t="s">
        <v>29</v>
      </c>
      <c r="H15">
        <v>18500</v>
      </c>
      <c r="I15" t="s">
        <v>122</v>
      </c>
      <c r="J15" t="s">
        <v>123</v>
      </c>
      <c r="K15" t="s">
        <v>124</v>
      </c>
      <c r="L15" t="s">
        <v>125</v>
      </c>
      <c r="M15">
        <v>15200</v>
      </c>
      <c r="N15">
        <v>305</v>
      </c>
      <c r="O15">
        <v>95</v>
      </c>
      <c r="P15">
        <v>7400</v>
      </c>
      <c r="Q15" t="s">
        <v>47</v>
      </c>
      <c r="R15" t="s">
        <v>35</v>
      </c>
      <c r="S15">
        <v>58</v>
      </c>
      <c r="T15" t="s">
        <v>110</v>
      </c>
      <c r="U15" t="s">
        <v>126</v>
      </c>
      <c r="V15" t="s">
        <v>98</v>
      </c>
      <c r="W15" t="s">
        <v>127</v>
      </c>
    </row>
    <row r="16" spans="1:23" x14ac:dyDescent="0.25">
      <c r="A16" t="s">
        <v>118</v>
      </c>
      <c r="B16" t="s">
        <v>50</v>
      </c>
      <c r="C16" t="s">
        <v>51</v>
      </c>
      <c r="D16" t="s">
        <v>26</v>
      </c>
      <c r="E16" t="s">
        <v>52</v>
      </c>
      <c r="F16" t="s">
        <v>53</v>
      </c>
      <c r="G16" t="s">
        <v>54</v>
      </c>
      <c r="H16">
        <v>15000</v>
      </c>
      <c r="I16" t="s">
        <v>128</v>
      </c>
      <c r="J16" t="s">
        <v>123</v>
      </c>
      <c r="K16" t="s">
        <v>129</v>
      </c>
      <c r="L16" t="s">
        <v>130</v>
      </c>
      <c r="M16">
        <v>12400</v>
      </c>
      <c r="N16">
        <v>170</v>
      </c>
      <c r="O16">
        <v>30</v>
      </c>
      <c r="P16">
        <v>6000</v>
      </c>
      <c r="Q16" t="s">
        <v>58</v>
      </c>
      <c r="R16" t="s">
        <v>35</v>
      </c>
      <c r="S16">
        <v>58</v>
      </c>
      <c r="T16" t="s">
        <v>131</v>
      </c>
      <c r="U16" t="s">
        <v>37</v>
      </c>
      <c r="V16" t="s">
        <v>98</v>
      </c>
      <c r="W16" t="s">
        <v>39</v>
      </c>
    </row>
    <row r="17" spans="1:23" x14ac:dyDescent="0.25">
      <c r="A17" t="s">
        <v>118</v>
      </c>
      <c r="B17" t="s">
        <v>62</v>
      </c>
      <c r="C17" t="s">
        <v>25</v>
      </c>
      <c r="D17" t="s">
        <v>63</v>
      </c>
      <c r="E17" t="s">
        <v>64</v>
      </c>
      <c r="F17" t="s">
        <v>65</v>
      </c>
      <c r="G17" t="s">
        <v>66</v>
      </c>
      <c r="H17">
        <v>25000</v>
      </c>
      <c r="I17" t="s">
        <v>67</v>
      </c>
      <c r="J17" t="s">
        <v>44</v>
      </c>
      <c r="K17" t="s">
        <v>132</v>
      </c>
      <c r="L17" t="s">
        <v>133</v>
      </c>
      <c r="M17">
        <v>21000</v>
      </c>
      <c r="N17">
        <v>375</v>
      </c>
      <c r="O17">
        <v>125</v>
      </c>
      <c r="P17">
        <v>10000</v>
      </c>
      <c r="Q17" t="s">
        <v>69</v>
      </c>
      <c r="R17" t="s">
        <v>35</v>
      </c>
      <c r="S17">
        <v>57</v>
      </c>
      <c r="T17" t="s">
        <v>134</v>
      </c>
      <c r="U17" t="s">
        <v>37</v>
      </c>
      <c r="V17" t="s">
        <v>98</v>
      </c>
      <c r="W17" t="s">
        <v>39</v>
      </c>
    </row>
    <row r="18" spans="1:23" x14ac:dyDescent="0.25">
      <c r="A18" t="s">
        <v>118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29</v>
      </c>
      <c r="H18">
        <v>12000</v>
      </c>
      <c r="I18" t="s">
        <v>135</v>
      </c>
      <c r="J18" t="s">
        <v>44</v>
      </c>
      <c r="K18" t="s">
        <v>136</v>
      </c>
      <c r="L18" t="s">
        <v>117</v>
      </c>
      <c r="M18">
        <v>10100</v>
      </c>
      <c r="N18">
        <v>165</v>
      </c>
      <c r="O18">
        <v>35</v>
      </c>
      <c r="P18">
        <v>4800</v>
      </c>
      <c r="Q18" t="s">
        <v>81</v>
      </c>
      <c r="R18" t="s">
        <v>35</v>
      </c>
      <c r="S18">
        <v>57</v>
      </c>
      <c r="T18" t="s">
        <v>60</v>
      </c>
      <c r="U18" t="s">
        <v>37</v>
      </c>
      <c r="V18" t="s">
        <v>98</v>
      </c>
      <c r="W18" t="s">
        <v>39</v>
      </c>
    </row>
    <row r="19" spans="1:23" x14ac:dyDescent="0.25">
      <c r="A19" t="s">
        <v>118</v>
      </c>
      <c r="B19" t="s">
        <v>85</v>
      </c>
      <c r="C19" t="s">
        <v>25</v>
      </c>
      <c r="D19" t="s">
        <v>75</v>
      </c>
      <c r="E19" t="s">
        <v>86</v>
      </c>
      <c r="F19" t="s">
        <v>87</v>
      </c>
      <c r="G19" t="s">
        <v>66</v>
      </c>
      <c r="H19">
        <v>19000</v>
      </c>
      <c r="I19" t="s">
        <v>137</v>
      </c>
      <c r="J19" t="s">
        <v>123</v>
      </c>
      <c r="K19" t="s">
        <v>138</v>
      </c>
      <c r="L19" t="s">
        <v>139</v>
      </c>
      <c r="M19">
        <v>15700</v>
      </c>
      <c r="N19">
        <v>300</v>
      </c>
      <c r="O19">
        <v>100</v>
      </c>
      <c r="P19">
        <v>7600</v>
      </c>
      <c r="Q19" t="s">
        <v>91</v>
      </c>
      <c r="R19" t="s">
        <v>100</v>
      </c>
      <c r="S19">
        <v>56</v>
      </c>
      <c r="T19" t="s">
        <v>36</v>
      </c>
      <c r="U19" t="s">
        <v>37</v>
      </c>
      <c r="V19" t="s">
        <v>98</v>
      </c>
      <c r="W19" t="s">
        <v>39</v>
      </c>
    </row>
    <row r="20" spans="1:23" x14ac:dyDescent="0.25">
      <c r="A20" t="s">
        <v>140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29</v>
      </c>
      <c r="H20">
        <v>22000</v>
      </c>
      <c r="I20" t="s">
        <v>94</v>
      </c>
      <c r="J20" t="s">
        <v>95</v>
      </c>
      <c r="K20" t="s">
        <v>141</v>
      </c>
      <c r="L20" t="s">
        <v>142</v>
      </c>
      <c r="M20">
        <v>19100</v>
      </c>
      <c r="N20">
        <v>285</v>
      </c>
      <c r="O20">
        <v>115</v>
      </c>
      <c r="P20">
        <v>8800</v>
      </c>
      <c r="Q20" t="s">
        <v>34</v>
      </c>
      <c r="R20" t="s">
        <v>59</v>
      </c>
      <c r="S20">
        <v>59</v>
      </c>
      <c r="T20" t="s">
        <v>49</v>
      </c>
      <c r="U20" t="s">
        <v>37</v>
      </c>
      <c r="V20" t="s">
        <v>143</v>
      </c>
      <c r="W20" t="s">
        <v>39</v>
      </c>
    </row>
    <row r="21" spans="1:23" x14ac:dyDescent="0.25">
      <c r="A21" t="s">
        <v>140</v>
      </c>
      <c r="B21" t="s">
        <v>40</v>
      </c>
      <c r="C21" t="s">
        <v>25</v>
      </c>
      <c r="D21" t="s">
        <v>26</v>
      </c>
      <c r="E21" t="s">
        <v>41</v>
      </c>
      <c r="F21" t="s">
        <v>42</v>
      </c>
      <c r="G21" t="s">
        <v>29</v>
      </c>
      <c r="H21">
        <v>18500</v>
      </c>
      <c r="I21" t="s">
        <v>144</v>
      </c>
      <c r="J21" t="s">
        <v>145</v>
      </c>
      <c r="K21" t="s">
        <v>89</v>
      </c>
      <c r="L21" t="s">
        <v>46</v>
      </c>
      <c r="M21">
        <v>16000</v>
      </c>
      <c r="N21">
        <v>310</v>
      </c>
      <c r="O21">
        <v>90</v>
      </c>
      <c r="P21">
        <v>7400</v>
      </c>
      <c r="Q21" t="s">
        <v>47</v>
      </c>
      <c r="R21" t="s">
        <v>59</v>
      </c>
      <c r="S21">
        <v>59</v>
      </c>
      <c r="T21" t="s">
        <v>131</v>
      </c>
      <c r="U21" t="s">
        <v>37</v>
      </c>
      <c r="V21" t="s">
        <v>143</v>
      </c>
      <c r="W21" t="s">
        <v>39</v>
      </c>
    </row>
    <row r="22" spans="1:23" x14ac:dyDescent="0.25">
      <c r="A22" t="s">
        <v>140</v>
      </c>
      <c r="B22" t="s">
        <v>50</v>
      </c>
      <c r="C22" t="s">
        <v>51</v>
      </c>
      <c r="D22" t="s">
        <v>26</v>
      </c>
      <c r="E22" t="s">
        <v>52</v>
      </c>
      <c r="F22" t="s">
        <v>53</v>
      </c>
      <c r="G22" t="s">
        <v>54</v>
      </c>
      <c r="H22">
        <v>15000</v>
      </c>
      <c r="I22" t="s">
        <v>81</v>
      </c>
      <c r="J22" t="s">
        <v>95</v>
      </c>
      <c r="K22" t="s">
        <v>146</v>
      </c>
      <c r="L22" t="s">
        <v>147</v>
      </c>
      <c r="M22">
        <v>12900</v>
      </c>
      <c r="N22">
        <v>165</v>
      </c>
      <c r="O22">
        <v>35</v>
      </c>
      <c r="P22">
        <v>6000</v>
      </c>
      <c r="Q22" t="s">
        <v>58</v>
      </c>
      <c r="R22" t="s">
        <v>148</v>
      </c>
      <c r="S22">
        <v>60</v>
      </c>
      <c r="T22" t="s">
        <v>82</v>
      </c>
      <c r="U22" t="s">
        <v>37</v>
      </c>
      <c r="V22" t="s">
        <v>61</v>
      </c>
      <c r="W22" t="s">
        <v>39</v>
      </c>
    </row>
    <row r="23" spans="1:23" x14ac:dyDescent="0.25">
      <c r="A23" t="s">
        <v>140</v>
      </c>
      <c r="B23" t="s">
        <v>62</v>
      </c>
      <c r="C23" t="s">
        <v>149</v>
      </c>
      <c r="D23" t="s">
        <v>63</v>
      </c>
      <c r="E23" t="s">
        <v>64</v>
      </c>
      <c r="F23" t="s">
        <v>65</v>
      </c>
      <c r="G23" t="s">
        <v>66</v>
      </c>
      <c r="H23">
        <v>25000</v>
      </c>
      <c r="I23" t="s">
        <v>150</v>
      </c>
      <c r="J23" t="s">
        <v>95</v>
      </c>
      <c r="K23" t="s">
        <v>151</v>
      </c>
      <c r="L23" t="s">
        <v>80</v>
      </c>
      <c r="M23">
        <v>21600</v>
      </c>
      <c r="N23">
        <v>360</v>
      </c>
      <c r="O23">
        <v>140</v>
      </c>
      <c r="P23">
        <v>10000</v>
      </c>
      <c r="Q23" t="s">
        <v>69</v>
      </c>
      <c r="R23" t="s">
        <v>59</v>
      </c>
      <c r="S23">
        <v>58</v>
      </c>
      <c r="T23" t="s">
        <v>101</v>
      </c>
      <c r="U23" t="s">
        <v>37</v>
      </c>
      <c r="V23" t="s">
        <v>143</v>
      </c>
      <c r="W23" t="s">
        <v>152</v>
      </c>
    </row>
    <row r="24" spans="1:23" x14ac:dyDescent="0.25">
      <c r="A24" t="s">
        <v>140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29</v>
      </c>
      <c r="H24">
        <v>12000</v>
      </c>
      <c r="I24" t="s">
        <v>153</v>
      </c>
      <c r="J24" t="s">
        <v>145</v>
      </c>
      <c r="K24" t="s">
        <v>154</v>
      </c>
      <c r="L24" t="s">
        <v>33</v>
      </c>
      <c r="M24">
        <v>10500</v>
      </c>
      <c r="N24">
        <v>155</v>
      </c>
      <c r="O24">
        <v>45</v>
      </c>
      <c r="P24">
        <v>4800</v>
      </c>
      <c r="Q24" t="s">
        <v>81</v>
      </c>
      <c r="R24" t="s">
        <v>59</v>
      </c>
      <c r="S24">
        <v>58</v>
      </c>
      <c r="T24" t="s">
        <v>155</v>
      </c>
      <c r="U24" t="s">
        <v>37</v>
      </c>
      <c r="V24" t="s">
        <v>156</v>
      </c>
      <c r="W24" t="s">
        <v>39</v>
      </c>
    </row>
    <row r="25" spans="1:23" x14ac:dyDescent="0.25">
      <c r="A25" t="s">
        <v>140</v>
      </c>
      <c r="B25" t="s">
        <v>85</v>
      </c>
      <c r="C25" t="s">
        <v>25</v>
      </c>
      <c r="D25" t="s">
        <v>75</v>
      </c>
      <c r="E25" t="s">
        <v>86</v>
      </c>
      <c r="F25" t="s">
        <v>87</v>
      </c>
      <c r="G25" t="s">
        <v>66</v>
      </c>
      <c r="H25">
        <v>19000</v>
      </c>
      <c r="I25" t="s">
        <v>157</v>
      </c>
      <c r="J25" t="s">
        <v>145</v>
      </c>
      <c r="K25" t="s">
        <v>158</v>
      </c>
      <c r="L25" t="s">
        <v>159</v>
      </c>
      <c r="M25">
        <v>16500</v>
      </c>
      <c r="N25">
        <v>285</v>
      </c>
      <c r="O25">
        <v>115</v>
      </c>
      <c r="P25">
        <v>7600</v>
      </c>
      <c r="Q25" t="s">
        <v>91</v>
      </c>
      <c r="R25" t="s">
        <v>35</v>
      </c>
      <c r="S25">
        <v>58</v>
      </c>
      <c r="T25" t="s">
        <v>131</v>
      </c>
      <c r="U25" t="s">
        <v>37</v>
      </c>
      <c r="V25" t="s">
        <v>143</v>
      </c>
      <c r="W25" t="s">
        <v>39</v>
      </c>
    </row>
    <row r="26" spans="1:23" x14ac:dyDescent="0.25">
      <c r="A26" t="s">
        <v>160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 t="s">
        <v>29</v>
      </c>
      <c r="H26">
        <v>22000</v>
      </c>
      <c r="I26" t="s">
        <v>161</v>
      </c>
      <c r="J26" t="s">
        <v>123</v>
      </c>
      <c r="K26" t="s">
        <v>162</v>
      </c>
      <c r="L26" t="s">
        <v>46</v>
      </c>
      <c r="M26">
        <v>18300</v>
      </c>
      <c r="N26">
        <v>320</v>
      </c>
      <c r="O26">
        <v>80</v>
      </c>
      <c r="P26">
        <v>8800</v>
      </c>
      <c r="Q26" t="s">
        <v>34</v>
      </c>
      <c r="R26" t="s">
        <v>100</v>
      </c>
      <c r="S26">
        <v>56</v>
      </c>
      <c r="T26" t="s">
        <v>163</v>
      </c>
      <c r="U26" t="s">
        <v>37</v>
      </c>
      <c r="V26" t="s">
        <v>98</v>
      </c>
      <c r="W26" t="s">
        <v>39</v>
      </c>
    </row>
    <row r="27" spans="1:23" x14ac:dyDescent="0.25">
      <c r="A27" t="s">
        <v>160</v>
      </c>
      <c r="B27" t="s">
        <v>40</v>
      </c>
      <c r="C27" t="s">
        <v>25</v>
      </c>
      <c r="D27" t="s">
        <v>26</v>
      </c>
      <c r="E27" t="s">
        <v>41</v>
      </c>
      <c r="F27" t="s">
        <v>42</v>
      </c>
      <c r="G27" t="s">
        <v>29</v>
      </c>
      <c r="H27">
        <v>18500</v>
      </c>
      <c r="I27" t="s">
        <v>164</v>
      </c>
      <c r="J27" t="s">
        <v>147</v>
      </c>
      <c r="K27" t="s">
        <v>165</v>
      </c>
      <c r="L27" t="s">
        <v>130</v>
      </c>
      <c r="M27">
        <v>14800</v>
      </c>
      <c r="N27">
        <v>310</v>
      </c>
      <c r="O27">
        <v>90</v>
      </c>
      <c r="P27">
        <v>7400</v>
      </c>
      <c r="Q27" t="s">
        <v>47</v>
      </c>
      <c r="R27" t="s">
        <v>166</v>
      </c>
      <c r="S27">
        <v>55</v>
      </c>
      <c r="T27" t="s">
        <v>167</v>
      </c>
      <c r="U27" t="s">
        <v>126</v>
      </c>
      <c r="V27" t="s">
        <v>98</v>
      </c>
      <c r="W27" t="s">
        <v>168</v>
      </c>
    </row>
    <row r="28" spans="1:23" x14ac:dyDescent="0.25">
      <c r="A28" t="s">
        <v>160</v>
      </c>
      <c r="B28" t="s">
        <v>50</v>
      </c>
      <c r="C28" t="s">
        <v>51</v>
      </c>
      <c r="D28" t="s">
        <v>26</v>
      </c>
      <c r="E28" t="s">
        <v>52</v>
      </c>
      <c r="F28" t="s">
        <v>53</v>
      </c>
      <c r="G28" t="s">
        <v>54</v>
      </c>
      <c r="H28">
        <v>15000</v>
      </c>
      <c r="I28" t="s">
        <v>169</v>
      </c>
      <c r="J28" t="s">
        <v>114</v>
      </c>
      <c r="K28" t="s">
        <v>170</v>
      </c>
      <c r="L28" t="s">
        <v>171</v>
      </c>
      <c r="M28">
        <v>12200</v>
      </c>
      <c r="N28">
        <v>180</v>
      </c>
      <c r="O28">
        <v>20</v>
      </c>
      <c r="P28">
        <v>6000</v>
      </c>
      <c r="Q28" t="s">
        <v>58</v>
      </c>
      <c r="R28" t="s">
        <v>48</v>
      </c>
      <c r="S28">
        <v>57</v>
      </c>
      <c r="T28" t="s">
        <v>97</v>
      </c>
      <c r="U28" t="s">
        <v>37</v>
      </c>
      <c r="V28" t="s">
        <v>98</v>
      </c>
      <c r="W28" t="s">
        <v>39</v>
      </c>
    </row>
    <row r="29" spans="1:23" x14ac:dyDescent="0.25">
      <c r="A29" t="s">
        <v>160</v>
      </c>
      <c r="B29" t="s">
        <v>62</v>
      </c>
      <c r="C29" t="s">
        <v>25</v>
      </c>
      <c r="D29" t="s">
        <v>63</v>
      </c>
      <c r="E29" t="s">
        <v>64</v>
      </c>
      <c r="F29" t="s">
        <v>65</v>
      </c>
      <c r="G29" t="s">
        <v>66</v>
      </c>
      <c r="H29">
        <v>25000</v>
      </c>
      <c r="I29" t="s">
        <v>172</v>
      </c>
      <c r="J29" t="s">
        <v>123</v>
      </c>
      <c r="K29" t="s">
        <v>173</v>
      </c>
      <c r="L29" t="s">
        <v>174</v>
      </c>
      <c r="M29">
        <v>20700</v>
      </c>
      <c r="N29">
        <v>385</v>
      </c>
      <c r="O29">
        <v>115</v>
      </c>
      <c r="P29">
        <v>10000</v>
      </c>
      <c r="Q29" t="s">
        <v>69</v>
      </c>
      <c r="R29" t="s">
        <v>48</v>
      </c>
      <c r="S29">
        <v>56</v>
      </c>
      <c r="T29" t="s">
        <v>175</v>
      </c>
      <c r="U29" t="s">
        <v>37</v>
      </c>
      <c r="V29" t="s">
        <v>98</v>
      </c>
      <c r="W29" t="s">
        <v>39</v>
      </c>
    </row>
    <row r="30" spans="1:23" x14ac:dyDescent="0.25">
      <c r="A30" t="s">
        <v>160</v>
      </c>
      <c r="B30" t="s">
        <v>73</v>
      </c>
      <c r="C30" t="s">
        <v>74</v>
      </c>
      <c r="D30" t="s">
        <v>75</v>
      </c>
      <c r="E30" t="s">
        <v>76</v>
      </c>
      <c r="F30" t="s">
        <v>77</v>
      </c>
      <c r="G30" t="s">
        <v>29</v>
      </c>
      <c r="H30">
        <v>12000</v>
      </c>
      <c r="I30" t="s">
        <v>176</v>
      </c>
      <c r="J30" t="s">
        <v>123</v>
      </c>
      <c r="K30" t="s">
        <v>177</v>
      </c>
      <c r="L30" t="s">
        <v>46</v>
      </c>
      <c r="M30">
        <v>10000</v>
      </c>
      <c r="N30">
        <v>168</v>
      </c>
      <c r="O30">
        <v>32</v>
      </c>
      <c r="P30">
        <v>4800</v>
      </c>
      <c r="Q30" t="s">
        <v>81</v>
      </c>
      <c r="R30" t="s">
        <v>48</v>
      </c>
      <c r="S30">
        <v>57</v>
      </c>
      <c r="T30" t="s">
        <v>49</v>
      </c>
      <c r="U30" t="s">
        <v>37</v>
      </c>
      <c r="V30" t="s">
        <v>98</v>
      </c>
      <c r="W30" t="s">
        <v>39</v>
      </c>
    </row>
    <row r="31" spans="1:23" x14ac:dyDescent="0.25">
      <c r="A31" t="s">
        <v>160</v>
      </c>
      <c r="B31" t="s">
        <v>85</v>
      </c>
      <c r="C31" t="s">
        <v>25</v>
      </c>
      <c r="D31" t="s">
        <v>75</v>
      </c>
      <c r="E31" t="s">
        <v>86</v>
      </c>
      <c r="F31" t="s">
        <v>87</v>
      </c>
      <c r="G31" t="s">
        <v>66</v>
      </c>
      <c r="H31">
        <v>19000</v>
      </c>
      <c r="I31" t="s">
        <v>178</v>
      </c>
      <c r="J31" t="s">
        <v>147</v>
      </c>
      <c r="K31" t="s">
        <v>99</v>
      </c>
      <c r="L31" t="s">
        <v>46</v>
      </c>
      <c r="M31">
        <v>15400</v>
      </c>
      <c r="N31">
        <v>295</v>
      </c>
      <c r="O31">
        <v>105</v>
      </c>
      <c r="P31">
        <v>7600</v>
      </c>
      <c r="Q31" t="s">
        <v>91</v>
      </c>
      <c r="R31" t="s">
        <v>166</v>
      </c>
      <c r="S31">
        <v>55</v>
      </c>
      <c r="T31" t="s">
        <v>70</v>
      </c>
      <c r="U31" t="s">
        <v>37</v>
      </c>
      <c r="V31" t="s">
        <v>98</v>
      </c>
      <c r="W31" t="s">
        <v>39</v>
      </c>
    </row>
    <row r="32" spans="1:23" x14ac:dyDescent="0.25">
      <c r="A32" t="s">
        <v>179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  <c r="H32">
        <v>22000</v>
      </c>
      <c r="I32" t="s">
        <v>30</v>
      </c>
      <c r="J32" t="s">
        <v>31</v>
      </c>
      <c r="K32" t="s">
        <v>180</v>
      </c>
      <c r="L32" t="s">
        <v>46</v>
      </c>
      <c r="M32">
        <v>18700</v>
      </c>
      <c r="N32">
        <v>305</v>
      </c>
      <c r="O32">
        <v>95</v>
      </c>
      <c r="P32">
        <v>8800</v>
      </c>
      <c r="Q32" t="s">
        <v>34</v>
      </c>
      <c r="R32" t="s">
        <v>35</v>
      </c>
      <c r="S32">
        <v>58</v>
      </c>
      <c r="T32" t="s">
        <v>101</v>
      </c>
      <c r="U32" t="s">
        <v>37</v>
      </c>
      <c r="V32" t="s">
        <v>98</v>
      </c>
      <c r="W32" t="s">
        <v>39</v>
      </c>
    </row>
    <row r="33" spans="1:23" x14ac:dyDescent="0.25">
      <c r="A33" t="s">
        <v>179</v>
      </c>
      <c r="B33" t="s">
        <v>40</v>
      </c>
      <c r="C33" t="s">
        <v>25</v>
      </c>
      <c r="D33" t="s">
        <v>26</v>
      </c>
      <c r="E33" t="s">
        <v>41</v>
      </c>
      <c r="F33" t="s">
        <v>42</v>
      </c>
      <c r="G33" t="s">
        <v>29</v>
      </c>
      <c r="H33">
        <v>18500</v>
      </c>
      <c r="I33" t="s">
        <v>43</v>
      </c>
      <c r="J33" t="s">
        <v>44</v>
      </c>
      <c r="K33" t="s">
        <v>99</v>
      </c>
      <c r="L33" t="s">
        <v>57</v>
      </c>
      <c r="M33">
        <v>15400</v>
      </c>
      <c r="N33">
        <v>295</v>
      </c>
      <c r="O33">
        <v>105</v>
      </c>
      <c r="P33">
        <v>7400</v>
      </c>
      <c r="Q33" t="s">
        <v>47</v>
      </c>
      <c r="R33" t="s">
        <v>35</v>
      </c>
      <c r="S33">
        <v>58</v>
      </c>
      <c r="T33" t="s">
        <v>92</v>
      </c>
      <c r="U33" t="s">
        <v>37</v>
      </c>
      <c r="V33" t="s">
        <v>98</v>
      </c>
      <c r="W33" t="s">
        <v>39</v>
      </c>
    </row>
    <row r="34" spans="1:23" x14ac:dyDescent="0.25">
      <c r="A34" t="s">
        <v>179</v>
      </c>
      <c r="B34" t="s">
        <v>50</v>
      </c>
      <c r="C34" t="s">
        <v>51</v>
      </c>
      <c r="D34" t="s">
        <v>26</v>
      </c>
      <c r="E34" t="s">
        <v>52</v>
      </c>
      <c r="F34" t="s">
        <v>53</v>
      </c>
      <c r="G34" t="s">
        <v>54</v>
      </c>
      <c r="H34">
        <v>15000</v>
      </c>
      <c r="I34" t="s">
        <v>55</v>
      </c>
      <c r="J34" t="s">
        <v>44</v>
      </c>
      <c r="K34" t="s">
        <v>181</v>
      </c>
      <c r="L34" t="s">
        <v>182</v>
      </c>
      <c r="M34">
        <v>12550</v>
      </c>
      <c r="N34">
        <v>172</v>
      </c>
      <c r="O34">
        <v>28</v>
      </c>
      <c r="P34">
        <v>6000</v>
      </c>
      <c r="Q34" t="s">
        <v>58</v>
      </c>
      <c r="R34" t="s">
        <v>35</v>
      </c>
      <c r="S34">
        <v>58</v>
      </c>
      <c r="T34" t="s">
        <v>60</v>
      </c>
      <c r="U34" t="s">
        <v>37</v>
      </c>
      <c r="V34" t="s">
        <v>98</v>
      </c>
      <c r="W34" t="s">
        <v>39</v>
      </c>
    </row>
    <row r="35" spans="1:23" x14ac:dyDescent="0.25">
      <c r="A35" t="s">
        <v>179</v>
      </c>
      <c r="B35" t="s">
        <v>62</v>
      </c>
      <c r="C35" t="s">
        <v>25</v>
      </c>
      <c r="D35" t="s">
        <v>63</v>
      </c>
      <c r="E35" t="s">
        <v>64</v>
      </c>
      <c r="F35" t="s">
        <v>65</v>
      </c>
      <c r="G35" t="s">
        <v>66</v>
      </c>
      <c r="H35">
        <v>25000</v>
      </c>
      <c r="I35" t="s">
        <v>67</v>
      </c>
      <c r="J35" t="s">
        <v>44</v>
      </c>
      <c r="K35" t="s">
        <v>68</v>
      </c>
      <c r="L35" t="s">
        <v>33</v>
      </c>
      <c r="M35">
        <v>21100</v>
      </c>
      <c r="N35">
        <v>375</v>
      </c>
      <c r="O35">
        <v>125</v>
      </c>
      <c r="P35">
        <v>10000</v>
      </c>
      <c r="Q35" t="s">
        <v>69</v>
      </c>
      <c r="R35" t="s">
        <v>35</v>
      </c>
      <c r="S35">
        <v>58</v>
      </c>
      <c r="T35" t="s">
        <v>121</v>
      </c>
      <c r="U35" t="s">
        <v>37</v>
      </c>
      <c r="V35" t="s">
        <v>98</v>
      </c>
      <c r="W35" t="s">
        <v>39</v>
      </c>
    </row>
    <row r="36" spans="1:23" x14ac:dyDescent="0.25">
      <c r="A36" t="s">
        <v>179</v>
      </c>
      <c r="B36" t="s">
        <v>73</v>
      </c>
      <c r="C36" t="s">
        <v>74</v>
      </c>
      <c r="D36" t="s">
        <v>75</v>
      </c>
      <c r="E36" t="s">
        <v>76</v>
      </c>
      <c r="F36" t="s">
        <v>77</v>
      </c>
      <c r="G36" t="s">
        <v>29</v>
      </c>
      <c r="H36">
        <v>12000</v>
      </c>
      <c r="I36" t="s">
        <v>78</v>
      </c>
      <c r="J36" t="s">
        <v>31</v>
      </c>
      <c r="K36" t="s">
        <v>79</v>
      </c>
      <c r="L36" t="s">
        <v>80</v>
      </c>
      <c r="M36">
        <v>10300</v>
      </c>
      <c r="N36">
        <v>158</v>
      </c>
      <c r="O36">
        <v>42</v>
      </c>
      <c r="P36">
        <v>4800</v>
      </c>
      <c r="Q36" t="s">
        <v>81</v>
      </c>
      <c r="R36" t="s">
        <v>59</v>
      </c>
      <c r="S36">
        <v>58</v>
      </c>
      <c r="T36" t="s">
        <v>106</v>
      </c>
      <c r="U36" t="s">
        <v>37</v>
      </c>
      <c r="V36" t="s">
        <v>98</v>
      </c>
      <c r="W36" t="s">
        <v>39</v>
      </c>
    </row>
    <row r="37" spans="1:23" x14ac:dyDescent="0.25">
      <c r="A37" t="s">
        <v>179</v>
      </c>
      <c r="B37" t="s">
        <v>85</v>
      </c>
      <c r="C37" t="s">
        <v>25</v>
      </c>
      <c r="D37" t="s">
        <v>75</v>
      </c>
      <c r="E37" t="s">
        <v>86</v>
      </c>
      <c r="F37" t="s">
        <v>87</v>
      </c>
      <c r="G37" t="s">
        <v>66</v>
      </c>
      <c r="H37">
        <v>19000</v>
      </c>
      <c r="I37" t="s">
        <v>88</v>
      </c>
      <c r="J37" t="s">
        <v>44</v>
      </c>
      <c r="K37" t="s">
        <v>116</v>
      </c>
      <c r="L37" t="s">
        <v>117</v>
      </c>
      <c r="M37">
        <v>15900</v>
      </c>
      <c r="N37">
        <v>298</v>
      </c>
      <c r="O37">
        <v>102</v>
      </c>
      <c r="P37">
        <v>7600</v>
      </c>
      <c r="Q37" t="s">
        <v>91</v>
      </c>
      <c r="R37" t="s">
        <v>48</v>
      </c>
      <c r="S37">
        <v>57</v>
      </c>
      <c r="T37" t="s">
        <v>97</v>
      </c>
      <c r="U37" t="s">
        <v>37</v>
      </c>
      <c r="V37" t="s">
        <v>98</v>
      </c>
      <c r="W37" t="s">
        <v>39</v>
      </c>
    </row>
    <row r="38" spans="1:23" x14ac:dyDescent="0.25">
      <c r="A38" t="s">
        <v>183</v>
      </c>
      <c r="B38" t="s">
        <v>24</v>
      </c>
      <c r="C38" t="s">
        <v>25</v>
      </c>
      <c r="D38" t="s">
        <v>26</v>
      </c>
      <c r="E38" t="s">
        <v>27</v>
      </c>
      <c r="F38" t="s">
        <v>28</v>
      </c>
      <c r="G38" t="s">
        <v>184</v>
      </c>
      <c r="H38">
        <v>22000</v>
      </c>
      <c r="I38" t="s">
        <v>94</v>
      </c>
      <c r="J38" t="s">
        <v>95</v>
      </c>
      <c r="K38" t="s">
        <v>96</v>
      </c>
      <c r="L38" t="s">
        <v>33</v>
      </c>
      <c r="M38">
        <v>19000</v>
      </c>
      <c r="N38">
        <v>295</v>
      </c>
      <c r="O38">
        <v>105</v>
      </c>
      <c r="P38">
        <v>8800</v>
      </c>
      <c r="Q38" t="s">
        <v>34</v>
      </c>
      <c r="R38" t="s">
        <v>59</v>
      </c>
      <c r="S38">
        <v>59</v>
      </c>
      <c r="T38" t="s">
        <v>49</v>
      </c>
      <c r="U38" t="s">
        <v>37</v>
      </c>
      <c r="V38" t="s">
        <v>185</v>
      </c>
      <c r="W38" t="s">
        <v>186</v>
      </c>
    </row>
    <row r="39" spans="1:23" x14ac:dyDescent="0.25">
      <c r="A39" t="s">
        <v>183</v>
      </c>
      <c r="B39" t="s">
        <v>40</v>
      </c>
      <c r="C39" t="s">
        <v>25</v>
      </c>
      <c r="D39" t="s">
        <v>26</v>
      </c>
      <c r="E39" t="s">
        <v>41</v>
      </c>
      <c r="F39" t="s">
        <v>42</v>
      </c>
      <c r="G39" t="s">
        <v>29</v>
      </c>
      <c r="H39">
        <v>18500</v>
      </c>
      <c r="I39" t="s">
        <v>187</v>
      </c>
      <c r="J39" t="s">
        <v>31</v>
      </c>
      <c r="K39" t="s">
        <v>188</v>
      </c>
      <c r="L39" t="s">
        <v>147</v>
      </c>
      <c r="M39">
        <v>15600</v>
      </c>
      <c r="N39">
        <v>300</v>
      </c>
      <c r="O39">
        <v>100</v>
      </c>
      <c r="P39">
        <v>7400</v>
      </c>
      <c r="Q39" t="s">
        <v>47</v>
      </c>
      <c r="R39" t="s">
        <v>35</v>
      </c>
      <c r="S39">
        <v>58</v>
      </c>
      <c r="T39" t="s">
        <v>97</v>
      </c>
      <c r="U39" t="s">
        <v>37</v>
      </c>
      <c r="V39" t="s">
        <v>185</v>
      </c>
      <c r="W39" t="s">
        <v>39</v>
      </c>
    </row>
    <row r="40" spans="1:23" x14ac:dyDescent="0.25">
      <c r="A40" t="s">
        <v>183</v>
      </c>
      <c r="B40" t="s">
        <v>50</v>
      </c>
      <c r="C40" t="s">
        <v>51</v>
      </c>
      <c r="D40" t="s">
        <v>26</v>
      </c>
      <c r="E40" t="s">
        <v>52</v>
      </c>
      <c r="F40" t="s">
        <v>53</v>
      </c>
      <c r="G40" t="s">
        <v>54</v>
      </c>
      <c r="H40">
        <v>15000</v>
      </c>
      <c r="I40" t="s">
        <v>103</v>
      </c>
      <c r="J40" t="s">
        <v>31</v>
      </c>
      <c r="K40" t="s">
        <v>189</v>
      </c>
      <c r="L40" t="s">
        <v>190</v>
      </c>
      <c r="M40">
        <v>12700</v>
      </c>
      <c r="N40">
        <v>168</v>
      </c>
      <c r="O40">
        <v>32</v>
      </c>
      <c r="P40">
        <v>6000</v>
      </c>
      <c r="Q40" t="s">
        <v>58</v>
      </c>
      <c r="R40" t="s">
        <v>59</v>
      </c>
      <c r="S40">
        <v>59</v>
      </c>
      <c r="T40" t="s">
        <v>82</v>
      </c>
      <c r="U40" t="s">
        <v>37</v>
      </c>
      <c r="V40" t="s">
        <v>191</v>
      </c>
      <c r="W40" t="s">
        <v>39</v>
      </c>
    </row>
    <row r="41" spans="1:23" x14ac:dyDescent="0.25">
      <c r="A41" t="s">
        <v>183</v>
      </c>
      <c r="B41" t="s">
        <v>62</v>
      </c>
      <c r="C41" t="s">
        <v>25</v>
      </c>
      <c r="D41" t="s">
        <v>63</v>
      </c>
      <c r="E41" t="s">
        <v>64</v>
      </c>
      <c r="F41" t="s">
        <v>65</v>
      </c>
      <c r="G41" t="s">
        <v>66</v>
      </c>
      <c r="H41">
        <v>25000</v>
      </c>
      <c r="I41" t="s">
        <v>108</v>
      </c>
      <c r="J41" t="s">
        <v>31</v>
      </c>
      <c r="K41" t="s">
        <v>109</v>
      </c>
      <c r="L41" t="s">
        <v>90</v>
      </c>
      <c r="M41">
        <v>21300</v>
      </c>
      <c r="N41">
        <v>365</v>
      </c>
      <c r="O41">
        <v>135</v>
      </c>
      <c r="P41">
        <v>10000</v>
      </c>
      <c r="Q41" t="s">
        <v>69</v>
      </c>
      <c r="R41" t="s">
        <v>59</v>
      </c>
      <c r="S41">
        <v>58</v>
      </c>
      <c r="T41" t="s">
        <v>36</v>
      </c>
      <c r="U41" t="s">
        <v>37</v>
      </c>
      <c r="V41" t="s">
        <v>185</v>
      </c>
      <c r="W41" t="s">
        <v>39</v>
      </c>
    </row>
    <row r="42" spans="1:23" x14ac:dyDescent="0.25">
      <c r="A42" t="s">
        <v>183</v>
      </c>
      <c r="B42" t="s">
        <v>73</v>
      </c>
      <c r="C42" t="s">
        <v>74</v>
      </c>
      <c r="D42" t="s">
        <v>75</v>
      </c>
      <c r="E42" t="s">
        <v>76</v>
      </c>
      <c r="F42" t="s">
        <v>77</v>
      </c>
      <c r="G42" t="s">
        <v>29</v>
      </c>
      <c r="H42">
        <v>12000</v>
      </c>
      <c r="I42" t="s">
        <v>112</v>
      </c>
      <c r="J42" t="s">
        <v>95</v>
      </c>
      <c r="K42" t="s">
        <v>113</v>
      </c>
      <c r="L42" t="s">
        <v>114</v>
      </c>
      <c r="M42">
        <v>10400</v>
      </c>
      <c r="N42">
        <v>155</v>
      </c>
      <c r="O42">
        <v>45</v>
      </c>
      <c r="P42">
        <v>4800</v>
      </c>
      <c r="Q42" t="s">
        <v>81</v>
      </c>
      <c r="R42" t="s">
        <v>59</v>
      </c>
      <c r="S42">
        <v>59</v>
      </c>
      <c r="T42" t="s">
        <v>155</v>
      </c>
      <c r="U42" t="s">
        <v>37</v>
      </c>
      <c r="V42" t="s">
        <v>192</v>
      </c>
      <c r="W42" t="s">
        <v>39</v>
      </c>
    </row>
    <row r="43" spans="1:23" x14ac:dyDescent="0.25">
      <c r="A43" t="s">
        <v>183</v>
      </c>
      <c r="B43" t="s">
        <v>85</v>
      </c>
      <c r="C43" t="s">
        <v>25</v>
      </c>
      <c r="D43" t="s">
        <v>75</v>
      </c>
      <c r="E43" t="s">
        <v>86</v>
      </c>
      <c r="F43" t="s">
        <v>87</v>
      </c>
      <c r="G43" t="s">
        <v>66</v>
      </c>
      <c r="H43">
        <v>19000</v>
      </c>
      <c r="I43" t="s">
        <v>193</v>
      </c>
      <c r="J43" t="s">
        <v>31</v>
      </c>
      <c r="K43" t="s">
        <v>194</v>
      </c>
      <c r="L43" t="s">
        <v>33</v>
      </c>
      <c r="M43">
        <v>16200</v>
      </c>
      <c r="N43">
        <v>288</v>
      </c>
      <c r="O43">
        <v>112</v>
      </c>
      <c r="P43">
        <v>7600</v>
      </c>
      <c r="Q43" t="s">
        <v>91</v>
      </c>
      <c r="R43" t="s">
        <v>35</v>
      </c>
      <c r="S43">
        <v>58</v>
      </c>
      <c r="T43" t="s">
        <v>131</v>
      </c>
      <c r="U43" t="s">
        <v>37</v>
      </c>
      <c r="V43" t="s">
        <v>185</v>
      </c>
      <c r="W43" t="s">
        <v>39</v>
      </c>
    </row>
    <row r="44" spans="1:23" x14ac:dyDescent="0.25">
      <c r="A44" t="s">
        <v>195</v>
      </c>
      <c r="B44" t="s">
        <v>24</v>
      </c>
      <c r="C44" t="s">
        <v>25</v>
      </c>
      <c r="D44" t="s">
        <v>26</v>
      </c>
      <c r="E44" t="s">
        <v>27</v>
      </c>
      <c r="F44" t="s">
        <v>28</v>
      </c>
      <c r="G44" t="s">
        <v>29</v>
      </c>
      <c r="H44">
        <v>22000</v>
      </c>
      <c r="I44" t="s">
        <v>119</v>
      </c>
      <c r="J44" t="s">
        <v>44</v>
      </c>
      <c r="K44" t="s">
        <v>120</v>
      </c>
      <c r="L44" t="s">
        <v>46</v>
      </c>
      <c r="M44">
        <v>18500</v>
      </c>
      <c r="N44">
        <v>310</v>
      </c>
      <c r="O44">
        <v>90</v>
      </c>
      <c r="P44">
        <v>8800</v>
      </c>
      <c r="Q44" t="s">
        <v>34</v>
      </c>
      <c r="R44" t="s">
        <v>48</v>
      </c>
      <c r="S44">
        <v>57</v>
      </c>
      <c r="T44" t="s">
        <v>110</v>
      </c>
      <c r="U44" t="s">
        <v>37</v>
      </c>
      <c r="V44" t="s">
        <v>98</v>
      </c>
      <c r="W44" t="s">
        <v>39</v>
      </c>
    </row>
    <row r="45" spans="1:23" x14ac:dyDescent="0.25">
      <c r="A45" t="s">
        <v>195</v>
      </c>
      <c r="B45" t="s">
        <v>40</v>
      </c>
      <c r="C45" t="s">
        <v>25</v>
      </c>
      <c r="D45" t="s">
        <v>26</v>
      </c>
      <c r="E45" t="s">
        <v>41</v>
      </c>
      <c r="F45" t="s">
        <v>42</v>
      </c>
      <c r="G45" t="s">
        <v>29</v>
      </c>
      <c r="H45">
        <v>18500</v>
      </c>
      <c r="I45" t="s">
        <v>43</v>
      </c>
      <c r="J45" t="s">
        <v>44</v>
      </c>
      <c r="K45" t="s">
        <v>196</v>
      </c>
      <c r="L45" t="s">
        <v>197</v>
      </c>
      <c r="M45">
        <v>15300</v>
      </c>
      <c r="N45">
        <v>305</v>
      </c>
      <c r="O45">
        <v>95</v>
      </c>
      <c r="P45">
        <v>7400</v>
      </c>
      <c r="Q45" t="s">
        <v>47</v>
      </c>
      <c r="R45" t="s">
        <v>48</v>
      </c>
      <c r="S45">
        <v>57</v>
      </c>
      <c r="T45" t="s">
        <v>121</v>
      </c>
      <c r="U45" t="s">
        <v>37</v>
      </c>
      <c r="V45" t="s">
        <v>98</v>
      </c>
      <c r="W45" t="s">
        <v>39</v>
      </c>
    </row>
    <row r="46" spans="1:23" x14ac:dyDescent="0.25">
      <c r="A46" t="s">
        <v>195</v>
      </c>
      <c r="B46" t="s">
        <v>50</v>
      </c>
      <c r="C46" t="s">
        <v>51</v>
      </c>
      <c r="D46" t="s">
        <v>26</v>
      </c>
      <c r="E46" t="s">
        <v>52</v>
      </c>
      <c r="F46" t="s">
        <v>53</v>
      </c>
      <c r="G46" t="s">
        <v>54</v>
      </c>
      <c r="H46">
        <v>15000</v>
      </c>
      <c r="I46" t="s">
        <v>55</v>
      </c>
      <c r="J46" t="s">
        <v>44</v>
      </c>
      <c r="K46" t="s">
        <v>198</v>
      </c>
      <c r="L46" t="s">
        <v>199</v>
      </c>
      <c r="M46">
        <v>12500</v>
      </c>
      <c r="N46">
        <v>175</v>
      </c>
      <c r="O46">
        <v>25</v>
      </c>
      <c r="P46">
        <v>6000</v>
      </c>
      <c r="Q46" t="s">
        <v>58</v>
      </c>
      <c r="R46" t="s">
        <v>48</v>
      </c>
      <c r="S46">
        <v>57</v>
      </c>
      <c r="T46" t="s">
        <v>49</v>
      </c>
      <c r="U46" t="s">
        <v>37</v>
      </c>
      <c r="V46" t="s">
        <v>98</v>
      </c>
      <c r="W46" t="s">
        <v>39</v>
      </c>
    </row>
    <row r="47" spans="1:23" x14ac:dyDescent="0.25">
      <c r="A47" t="s">
        <v>195</v>
      </c>
      <c r="B47" t="s">
        <v>62</v>
      </c>
      <c r="C47" t="s">
        <v>25</v>
      </c>
      <c r="D47" t="s">
        <v>63</v>
      </c>
      <c r="E47" t="s">
        <v>64</v>
      </c>
      <c r="F47" t="s">
        <v>65</v>
      </c>
      <c r="G47" t="s">
        <v>66</v>
      </c>
      <c r="H47">
        <v>25000</v>
      </c>
      <c r="I47" t="s">
        <v>67</v>
      </c>
      <c r="J47" t="s">
        <v>44</v>
      </c>
      <c r="K47" t="s">
        <v>132</v>
      </c>
      <c r="L47" t="s">
        <v>133</v>
      </c>
      <c r="M47">
        <v>21000</v>
      </c>
      <c r="N47">
        <v>378</v>
      </c>
      <c r="O47">
        <v>122</v>
      </c>
      <c r="P47">
        <v>10000</v>
      </c>
      <c r="Q47" t="s">
        <v>69</v>
      </c>
      <c r="R47" t="s">
        <v>35</v>
      </c>
      <c r="S47">
        <v>57</v>
      </c>
      <c r="T47" t="s">
        <v>70</v>
      </c>
      <c r="U47" t="s">
        <v>37</v>
      </c>
      <c r="V47" t="s">
        <v>98</v>
      </c>
      <c r="W47" t="s">
        <v>39</v>
      </c>
    </row>
    <row r="48" spans="1:23" x14ac:dyDescent="0.25">
      <c r="A48" t="s">
        <v>195</v>
      </c>
      <c r="B48" t="s">
        <v>73</v>
      </c>
      <c r="C48" t="s">
        <v>74</v>
      </c>
      <c r="D48" t="s">
        <v>75</v>
      </c>
      <c r="E48" t="s">
        <v>76</v>
      </c>
      <c r="F48" t="s">
        <v>77</v>
      </c>
      <c r="G48" t="s">
        <v>29</v>
      </c>
      <c r="H48">
        <v>12000</v>
      </c>
      <c r="I48" t="s">
        <v>135</v>
      </c>
      <c r="J48" t="s">
        <v>44</v>
      </c>
      <c r="K48" t="s">
        <v>136</v>
      </c>
      <c r="L48" t="s">
        <v>117</v>
      </c>
      <c r="M48">
        <v>10100</v>
      </c>
      <c r="N48">
        <v>162</v>
      </c>
      <c r="O48">
        <v>38</v>
      </c>
      <c r="P48">
        <v>4800</v>
      </c>
      <c r="Q48" t="s">
        <v>81</v>
      </c>
      <c r="R48" t="s">
        <v>35</v>
      </c>
      <c r="S48">
        <v>57</v>
      </c>
      <c r="T48" t="s">
        <v>82</v>
      </c>
      <c r="U48" t="s">
        <v>37</v>
      </c>
      <c r="V48" t="s">
        <v>98</v>
      </c>
      <c r="W48" t="s">
        <v>39</v>
      </c>
    </row>
    <row r="49" spans="1:23" x14ac:dyDescent="0.25">
      <c r="A49" t="s">
        <v>195</v>
      </c>
      <c r="B49" t="s">
        <v>85</v>
      </c>
      <c r="C49" t="s">
        <v>25</v>
      </c>
      <c r="D49" t="s">
        <v>75</v>
      </c>
      <c r="E49" t="s">
        <v>86</v>
      </c>
      <c r="F49" t="s">
        <v>87</v>
      </c>
      <c r="G49" t="s">
        <v>66</v>
      </c>
      <c r="H49">
        <v>19000</v>
      </c>
      <c r="I49" t="s">
        <v>137</v>
      </c>
      <c r="J49" t="s">
        <v>123</v>
      </c>
      <c r="K49" t="s">
        <v>138</v>
      </c>
      <c r="L49" t="s">
        <v>139</v>
      </c>
      <c r="M49">
        <v>15700</v>
      </c>
      <c r="N49">
        <v>302</v>
      </c>
      <c r="O49">
        <v>98</v>
      </c>
      <c r="P49">
        <v>7600</v>
      </c>
      <c r="Q49" t="s">
        <v>91</v>
      </c>
      <c r="R49" t="s">
        <v>100</v>
      </c>
      <c r="S49">
        <v>56</v>
      </c>
      <c r="T49" t="s">
        <v>101</v>
      </c>
      <c r="U49" t="s">
        <v>37</v>
      </c>
      <c r="V49" t="s">
        <v>98</v>
      </c>
      <c r="W49" t="s">
        <v>39</v>
      </c>
    </row>
    <row r="50" spans="1:23" x14ac:dyDescent="0.25">
      <c r="A50" t="s">
        <v>200</v>
      </c>
      <c r="B50" t="s">
        <v>24</v>
      </c>
      <c r="C50" t="s">
        <v>25</v>
      </c>
      <c r="D50" t="s">
        <v>26</v>
      </c>
      <c r="E50" t="s">
        <v>27</v>
      </c>
      <c r="F50" t="s">
        <v>28</v>
      </c>
      <c r="G50" t="s">
        <v>29</v>
      </c>
      <c r="H50">
        <v>22000</v>
      </c>
      <c r="I50" t="s">
        <v>94</v>
      </c>
      <c r="J50" t="s">
        <v>95</v>
      </c>
      <c r="K50" t="s">
        <v>96</v>
      </c>
      <c r="L50" t="s">
        <v>33</v>
      </c>
      <c r="M50">
        <v>19000</v>
      </c>
      <c r="N50">
        <v>298</v>
      </c>
      <c r="O50">
        <v>102</v>
      </c>
      <c r="P50">
        <v>8800</v>
      </c>
      <c r="Q50" t="s">
        <v>34</v>
      </c>
      <c r="R50" t="s">
        <v>59</v>
      </c>
      <c r="S50">
        <v>59</v>
      </c>
      <c r="T50" t="s">
        <v>97</v>
      </c>
      <c r="U50" t="s">
        <v>37</v>
      </c>
      <c r="V50" t="s">
        <v>143</v>
      </c>
      <c r="W50" t="s">
        <v>201</v>
      </c>
    </row>
    <row r="51" spans="1:23" x14ac:dyDescent="0.25">
      <c r="A51" t="s">
        <v>200</v>
      </c>
      <c r="B51" t="s">
        <v>40</v>
      </c>
      <c r="C51" t="s">
        <v>25</v>
      </c>
      <c r="D51" t="s">
        <v>26</v>
      </c>
      <c r="E51" t="s">
        <v>41</v>
      </c>
      <c r="F51" t="s">
        <v>42</v>
      </c>
      <c r="G51" t="s">
        <v>29</v>
      </c>
      <c r="H51">
        <v>18500</v>
      </c>
      <c r="I51" t="s">
        <v>144</v>
      </c>
      <c r="J51" t="s">
        <v>145</v>
      </c>
      <c r="K51" t="s">
        <v>89</v>
      </c>
      <c r="L51" t="s">
        <v>46</v>
      </c>
      <c r="M51">
        <v>16000</v>
      </c>
      <c r="N51">
        <v>308</v>
      </c>
      <c r="O51">
        <v>92</v>
      </c>
      <c r="P51">
        <v>7400</v>
      </c>
      <c r="Q51" t="s">
        <v>47</v>
      </c>
      <c r="R51" t="s">
        <v>59</v>
      </c>
      <c r="S51">
        <v>59</v>
      </c>
      <c r="T51" t="s">
        <v>49</v>
      </c>
      <c r="U51" t="s">
        <v>37</v>
      </c>
      <c r="V51" t="s">
        <v>143</v>
      </c>
      <c r="W51" t="s">
        <v>39</v>
      </c>
    </row>
    <row r="52" spans="1:23" x14ac:dyDescent="0.25">
      <c r="A52" t="s">
        <v>200</v>
      </c>
      <c r="B52" t="s">
        <v>50</v>
      </c>
      <c r="C52" t="s">
        <v>51</v>
      </c>
      <c r="D52" t="s">
        <v>26</v>
      </c>
      <c r="E52" t="s">
        <v>52</v>
      </c>
      <c r="F52" t="s">
        <v>53</v>
      </c>
      <c r="G52" t="s">
        <v>54</v>
      </c>
      <c r="H52">
        <v>15000</v>
      </c>
      <c r="I52" t="s">
        <v>81</v>
      </c>
      <c r="J52" t="s">
        <v>95</v>
      </c>
      <c r="K52" t="s">
        <v>202</v>
      </c>
      <c r="L52" t="s">
        <v>203</v>
      </c>
      <c r="M52">
        <v>12850</v>
      </c>
      <c r="N52">
        <v>170</v>
      </c>
      <c r="O52">
        <v>30</v>
      </c>
      <c r="P52">
        <v>6000</v>
      </c>
      <c r="Q52" t="s">
        <v>58</v>
      </c>
      <c r="R52" t="s">
        <v>59</v>
      </c>
      <c r="S52">
        <v>60</v>
      </c>
      <c r="T52" t="s">
        <v>82</v>
      </c>
      <c r="U52" t="s">
        <v>37</v>
      </c>
      <c r="V52" t="s">
        <v>61</v>
      </c>
      <c r="W52" t="s">
        <v>39</v>
      </c>
    </row>
    <row r="53" spans="1:23" x14ac:dyDescent="0.25">
      <c r="A53" t="s">
        <v>200</v>
      </c>
      <c r="B53" t="s">
        <v>62</v>
      </c>
      <c r="C53" t="s">
        <v>25</v>
      </c>
      <c r="D53" t="s">
        <v>63</v>
      </c>
      <c r="E53" t="s">
        <v>64</v>
      </c>
      <c r="F53" t="s">
        <v>65</v>
      </c>
      <c r="G53" t="s">
        <v>66</v>
      </c>
      <c r="H53">
        <v>25000</v>
      </c>
      <c r="I53" t="s">
        <v>150</v>
      </c>
      <c r="J53" t="s">
        <v>95</v>
      </c>
      <c r="K53" t="s">
        <v>204</v>
      </c>
      <c r="L53" t="s">
        <v>159</v>
      </c>
      <c r="M53">
        <v>21500</v>
      </c>
      <c r="N53">
        <v>368</v>
      </c>
      <c r="O53">
        <v>132</v>
      </c>
      <c r="P53">
        <v>10000</v>
      </c>
      <c r="Q53" t="s">
        <v>69</v>
      </c>
      <c r="R53" t="s">
        <v>59</v>
      </c>
      <c r="S53">
        <v>58</v>
      </c>
      <c r="T53" t="s">
        <v>92</v>
      </c>
      <c r="U53" t="s">
        <v>37</v>
      </c>
      <c r="V53" t="s">
        <v>143</v>
      </c>
      <c r="W53" t="s">
        <v>39</v>
      </c>
    </row>
    <row r="54" spans="1:23" x14ac:dyDescent="0.25">
      <c r="A54" t="s">
        <v>200</v>
      </c>
      <c r="B54" t="s">
        <v>73</v>
      </c>
      <c r="C54" t="s">
        <v>74</v>
      </c>
      <c r="D54" t="s">
        <v>75</v>
      </c>
      <c r="E54" t="s">
        <v>76</v>
      </c>
      <c r="F54" t="s">
        <v>77</v>
      </c>
      <c r="G54" t="s">
        <v>29</v>
      </c>
      <c r="H54">
        <v>12000</v>
      </c>
      <c r="I54" t="s">
        <v>153</v>
      </c>
      <c r="J54" t="s">
        <v>145</v>
      </c>
      <c r="K54" t="s">
        <v>154</v>
      </c>
      <c r="L54" t="s">
        <v>33</v>
      </c>
      <c r="M54">
        <v>10500</v>
      </c>
      <c r="N54">
        <v>152</v>
      </c>
      <c r="O54">
        <v>48</v>
      </c>
      <c r="P54">
        <v>4800</v>
      </c>
      <c r="Q54" t="s">
        <v>81</v>
      </c>
      <c r="R54" t="s">
        <v>59</v>
      </c>
      <c r="S54">
        <v>59</v>
      </c>
      <c r="T54" t="s">
        <v>155</v>
      </c>
      <c r="U54" t="s">
        <v>37</v>
      </c>
      <c r="V54" t="s">
        <v>156</v>
      </c>
      <c r="W54" t="s">
        <v>39</v>
      </c>
    </row>
    <row r="55" spans="1:23" x14ac:dyDescent="0.25">
      <c r="A55" t="s">
        <v>200</v>
      </c>
      <c r="B55" t="s">
        <v>85</v>
      </c>
      <c r="C55" t="s">
        <v>25</v>
      </c>
      <c r="D55" t="s">
        <v>75</v>
      </c>
      <c r="E55" t="s">
        <v>86</v>
      </c>
      <c r="F55" t="s">
        <v>87</v>
      </c>
      <c r="G55" t="s">
        <v>66</v>
      </c>
      <c r="H55">
        <v>19000</v>
      </c>
      <c r="I55" t="s">
        <v>157</v>
      </c>
      <c r="J55" t="s">
        <v>145</v>
      </c>
      <c r="K55" t="s">
        <v>158</v>
      </c>
      <c r="L55" t="s">
        <v>159</v>
      </c>
      <c r="M55">
        <v>16500</v>
      </c>
      <c r="N55">
        <v>283</v>
      </c>
      <c r="O55">
        <v>117</v>
      </c>
      <c r="P55">
        <v>7600</v>
      </c>
      <c r="Q55" t="s">
        <v>91</v>
      </c>
      <c r="R55" t="s">
        <v>35</v>
      </c>
      <c r="S55">
        <v>58</v>
      </c>
      <c r="T55" t="s">
        <v>131</v>
      </c>
      <c r="U55" t="s">
        <v>37</v>
      </c>
      <c r="V55" t="s">
        <v>143</v>
      </c>
      <c r="W55" t="s">
        <v>39</v>
      </c>
    </row>
    <row r="56" spans="1:23" x14ac:dyDescent="0.25">
      <c r="A56" t="s">
        <v>205</v>
      </c>
      <c r="B56" t="s">
        <v>24</v>
      </c>
      <c r="C56" t="s">
        <v>25</v>
      </c>
      <c r="D56" t="s">
        <v>26</v>
      </c>
      <c r="E56" t="s">
        <v>27</v>
      </c>
      <c r="F56" t="s">
        <v>28</v>
      </c>
      <c r="G56" t="s">
        <v>29</v>
      </c>
      <c r="H56">
        <v>22000</v>
      </c>
      <c r="I56" t="s">
        <v>30</v>
      </c>
      <c r="J56" t="s">
        <v>31</v>
      </c>
      <c r="K56" t="s">
        <v>180</v>
      </c>
      <c r="L56" t="s">
        <v>46</v>
      </c>
      <c r="M56">
        <v>18700</v>
      </c>
      <c r="N56">
        <v>308</v>
      </c>
      <c r="O56">
        <v>92</v>
      </c>
      <c r="P56">
        <v>8800</v>
      </c>
      <c r="Q56" t="s">
        <v>34</v>
      </c>
      <c r="R56" t="s">
        <v>100</v>
      </c>
      <c r="S56">
        <v>57</v>
      </c>
      <c r="T56" t="s">
        <v>121</v>
      </c>
      <c r="U56" t="s">
        <v>37</v>
      </c>
      <c r="V56" t="s">
        <v>98</v>
      </c>
      <c r="W56" t="s">
        <v>39</v>
      </c>
    </row>
    <row r="57" spans="1:23" x14ac:dyDescent="0.25">
      <c r="A57" t="s">
        <v>205</v>
      </c>
      <c r="B57" t="s">
        <v>40</v>
      </c>
      <c r="C57" t="s">
        <v>25</v>
      </c>
      <c r="D57" t="s">
        <v>26</v>
      </c>
      <c r="E57" t="s">
        <v>41</v>
      </c>
      <c r="F57" t="s">
        <v>42</v>
      </c>
      <c r="G57" t="s">
        <v>29</v>
      </c>
      <c r="H57">
        <v>18500</v>
      </c>
      <c r="I57" t="s">
        <v>122</v>
      </c>
      <c r="J57" t="s">
        <v>123</v>
      </c>
      <c r="K57" t="s">
        <v>206</v>
      </c>
      <c r="L57" t="s">
        <v>199</v>
      </c>
      <c r="M57">
        <v>15100</v>
      </c>
      <c r="N57">
        <v>312</v>
      </c>
      <c r="O57">
        <v>88</v>
      </c>
      <c r="P57">
        <v>7400</v>
      </c>
      <c r="Q57" t="s">
        <v>47</v>
      </c>
      <c r="R57" t="s">
        <v>166</v>
      </c>
      <c r="S57">
        <v>55</v>
      </c>
      <c r="T57" t="s">
        <v>207</v>
      </c>
      <c r="U57" t="s">
        <v>37</v>
      </c>
      <c r="V57" t="s">
        <v>98</v>
      </c>
      <c r="W57" t="s">
        <v>208</v>
      </c>
    </row>
    <row r="58" spans="1:23" x14ac:dyDescent="0.25">
      <c r="A58" t="s">
        <v>205</v>
      </c>
      <c r="B58" t="s">
        <v>50</v>
      </c>
      <c r="C58" t="s">
        <v>51</v>
      </c>
      <c r="D58" t="s">
        <v>26</v>
      </c>
      <c r="E58" t="s">
        <v>52</v>
      </c>
      <c r="F58" t="s">
        <v>53</v>
      </c>
      <c r="G58" t="s">
        <v>54</v>
      </c>
      <c r="H58">
        <v>15000</v>
      </c>
      <c r="I58" t="s">
        <v>128</v>
      </c>
      <c r="J58" t="s">
        <v>123</v>
      </c>
      <c r="K58" t="s">
        <v>209</v>
      </c>
      <c r="L58" t="s">
        <v>210</v>
      </c>
      <c r="M58">
        <v>12300</v>
      </c>
      <c r="N58">
        <v>182</v>
      </c>
      <c r="O58">
        <v>18</v>
      </c>
      <c r="P58">
        <v>6000</v>
      </c>
      <c r="Q58" t="s">
        <v>58</v>
      </c>
      <c r="R58" t="s">
        <v>100</v>
      </c>
      <c r="S58">
        <v>56</v>
      </c>
      <c r="T58" t="s">
        <v>92</v>
      </c>
      <c r="U58" t="s">
        <v>37</v>
      </c>
      <c r="V58" t="s">
        <v>98</v>
      </c>
      <c r="W58" t="s">
        <v>211</v>
      </c>
    </row>
    <row r="59" spans="1:23" x14ac:dyDescent="0.25">
      <c r="A59" t="s">
        <v>205</v>
      </c>
      <c r="B59" t="s">
        <v>62</v>
      </c>
      <c r="C59" t="s">
        <v>25</v>
      </c>
      <c r="D59" t="s">
        <v>63</v>
      </c>
      <c r="E59" t="s">
        <v>64</v>
      </c>
      <c r="F59" t="s">
        <v>65</v>
      </c>
      <c r="G59" t="s">
        <v>66</v>
      </c>
      <c r="H59">
        <v>25000</v>
      </c>
      <c r="I59" t="s">
        <v>39</v>
      </c>
      <c r="J59" t="s">
        <v>44</v>
      </c>
      <c r="K59" t="s">
        <v>68</v>
      </c>
      <c r="L59" t="s">
        <v>33</v>
      </c>
      <c r="M59">
        <v>21100</v>
      </c>
      <c r="N59">
        <v>372</v>
      </c>
      <c r="O59">
        <v>128</v>
      </c>
      <c r="P59">
        <v>10000</v>
      </c>
      <c r="Q59" t="s">
        <v>69</v>
      </c>
      <c r="R59" t="s">
        <v>48</v>
      </c>
      <c r="S59">
        <v>57</v>
      </c>
      <c r="T59" t="s">
        <v>134</v>
      </c>
      <c r="U59" t="s">
        <v>37</v>
      </c>
      <c r="V59" t="s">
        <v>98</v>
      </c>
      <c r="W59" t="s">
        <v>212</v>
      </c>
    </row>
    <row r="60" spans="1:23" x14ac:dyDescent="0.25">
      <c r="A60" t="s">
        <v>205</v>
      </c>
      <c r="B60" t="s">
        <v>73</v>
      </c>
      <c r="C60" t="s">
        <v>74</v>
      </c>
      <c r="D60" t="s">
        <v>75</v>
      </c>
      <c r="E60" t="s">
        <v>76</v>
      </c>
      <c r="F60" t="s">
        <v>77</v>
      </c>
      <c r="G60" t="s">
        <v>29</v>
      </c>
      <c r="H60">
        <v>12000</v>
      </c>
      <c r="I60" t="s">
        <v>78</v>
      </c>
      <c r="J60" t="s">
        <v>31</v>
      </c>
      <c r="K60" t="s">
        <v>79</v>
      </c>
      <c r="L60" t="s">
        <v>80</v>
      </c>
      <c r="M60">
        <v>10300</v>
      </c>
      <c r="N60">
        <v>160</v>
      </c>
      <c r="O60">
        <v>40</v>
      </c>
      <c r="P60">
        <v>4800</v>
      </c>
      <c r="Q60" t="s">
        <v>81</v>
      </c>
      <c r="R60" t="s">
        <v>35</v>
      </c>
      <c r="S60">
        <v>57</v>
      </c>
      <c r="T60" t="s">
        <v>82</v>
      </c>
      <c r="U60" t="s">
        <v>37</v>
      </c>
      <c r="V60" t="s">
        <v>98</v>
      </c>
      <c r="W60" t="s">
        <v>39</v>
      </c>
    </row>
    <row r="61" spans="1:23" x14ac:dyDescent="0.25">
      <c r="A61" t="s">
        <v>205</v>
      </c>
      <c r="B61" t="s">
        <v>85</v>
      </c>
      <c r="C61" t="s">
        <v>25</v>
      </c>
      <c r="D61" t="s">
        <v>75</v>
      </c>
      <c r="E61" t="s">
        <v>86</v>
      </c>
      <c r="F61" t="s">
        <v>87</v>
      </c>
      <c r="G61" t="s">
        <v>66</v>
      </c>
      <c r="H61">
        <v>19000</v>
      </c>
      <c r="I61" t="s">
        <v>88</v>
      </c>
      <c r="J61" t="s">
        <v>44</v>
      </c>
      <c r="K61" t="s">
        <v>116</v>
      </c>
      <c r="L61" t="s">
        <v>117</v>
      </c>
      <c r="M61">
        <v>15900</v>
      </c>
      <c r="N61">
        <v>296</v>
      </c>
      <c r="O61">
        <v>104</v>
      </c>
      <c r="P61">
        <v>7600</v>
      </c>
      <c r="Q61" t="s">
        <v>91</v>
      </c>
      <c r="R61" t="s">
        <v>100</v>
      </c>
      <c r="S61">
        <v>56</v>
      </c>
      <c r="T61" t="s">
        <v>92</v>
      </c>
      <c r="U61" t="s">
        <v>37</v>
      </c>
      <c r="V61" t="s">
        <v>98</v>
      </c>
      <c r="W61" t="s">
        <v>39</v>
      </c>
    </row>
    <row r="62" spans="1:23" x14ac:dyDescent="0.25">
      <c r="A62" t="s">
        <v>213</v>
      </c>
      <c r="B62" t="s">
        <v>24</v>
      </c>
      <c r="C62" t="s">
        <v>25</v>
      </c>
      <c r="D62" t="s">
        <v>26</v>
      </c>
      <c r="E62" t="s">
        <v>27</v>
      </c>
      <c r="F62" t="s">
        <v>28</v>
      </c>
      <c r="G62" t="s">
        <v>29</v>
      </c>
      <c r="H62">
        <v>22000</v>
      </c>
      <c r="I62" t="s">
        <v>94</v>
      </c>
      <c r="J62" t="s">
        <v>95</v>
      </c>
      <c r="K62" t="s">
        <v>96</v>
      </c>
      <c r="L62" t="s">
        <v>33</v>
      </c>
      <c r="M62">
        <v>19000</v>
      </c>
      <c r="N62">
        <v>296</v>
      </c>
      <c r="O62">
        <v>104</v>
      </c>
      <c r="P62">
        <v>8800</v>
      </c>
      <c r="Q62" t="s">
        <v>34</v>
      </c>
      <c r="R62" t="s">
        <v>59</v>
      </c>
      <c r="S62">
        <v>59</v>
      </c>
      <c r="T62" t="s">
        <v>49</v>
      </c>
      <c r="U62" t="s">
        <v>37</v>
      </c>
      <c r="V62" t="s">
        <v>98</v>
      </c>
      <c r="W62" t="s">
        <v>39</v>
      </c>
    </row>
    <row r="63" spans="1:23" x14ac:dyDescent="0.25">
      <c r="A63" t="s">
        <v>213</v>
      </c>
      <c r="B63" t="s">
        <v>40</v>
      </c>
      <c r="C63" t="s">
        <v>25</v>
      </c>
      <c r="D63" t="s">
        <v>26</v>
      </c>
      <c r="E63" t="s">
        <v>41</v>
      </c>
      <c r="F63" t="s">
        <v>42</v>
      </c>
      <c r="G63" t="s">
        <v>29</v>
      </c>
      <c r="H63">
        <v>18500</v>
      </c>
      <c r="I63" t="s">
        <v>187</v>
      </c>
      <c r="J63" t="s">
        <v>31</v>
      </c>
      <c r="K63" t="s">
        <v>188</v>
      </c>
      <c r="L63" t="s">
        <v>147</v>
      </c>
      <c r="M63">
        <v>15600</v>
      </c>
      <c r="N63">
        <v>305</v>
      </c>
      <c r="O63">
        <v>95</v>
      </c>
      <c r="P63">
        <v>7400</v>
      </c>
      <c r="Q63" t="s">
        <v>47</v>
      </c>
      <c r="R63" t="s">
        <v>59</v>
      </c>
      <c r="S63">
        <v>59</v>
      </c>
      <c r="T63" t="s">
        <v>49</v>
      </c>
      <c r="U63" t="s">
        <v>37</v>
      </c>
      <c r="V63" t="s">
        <v>98</v>
      </c>
      <c r="W63" t="s">
        <v>39</v>
      </c>
    </row>
    <row r="64" spans="1:23" x14ac:dyDescent="0.25">
      <c r="A64" t="s">
        <v>213</v>
      </c>
      <c r="B64" t="s">
        <v>50</v>
      </c>
      <c r="C64" t="s">
        <v>51</v>
      </c>
      <c r="D64" t="s">
        <v>26</v>
      </c>
      <c r="E64" t="s">
        <v>52</v>
      </c>
      <c r="F64" t="s">
        <v>53</v>
      </c>
      <c r="G64" t="s">
        <v>54</v>
      </c>
      <c r="H64">
        <v>15000</v>
      </c>
      <c r="I64" t="s">
        <v>103</v>
      </c>
      <c r="J64" t="s">
        <v>31</v>
      </c>
      <c r="K64" t="s">
        <v>214</v>
      </c>
      <c r="L64" t="s">
        <v>125</v>
      </c>
      <c r="M64">
        <v>12720</v>
      </c>
      <c r="N64">
        <v>168</v>
      </c>
      <c r="O64">
        <v>32</v>
      </c>
      <c r="P64">
        <v>6000</v>
      </c>
      <c r="Q64" t="s">
        <v>58</v>
      </c>
      <c r="R64" t="s">
        <v>59</v>
      </c>
      <c r="S64">
        <v>59</v>
      </c>
      <c r="T64" t="s">
        <v>82</v>
      </c>
      <c r="U64" t="s">
        <v>37</v>
      </c>
      <c r="V64" t="s">
        <v>98</v>
      </c>
      <c r="W64" t="s">
        <v>39</v>
      </c>
    </row>
    <row r="65" spans="1:23" x14ac:dyDescent="0.25">
      <c r="A65" t="s">
        <v>213</v>
      </c>
      <c r="B65" t="s">
        <v>62</v>
      </c>
      <c r="C65" t="s">
        <v>25</v>
      </c>
      <c r="D65" t="s">
        <v>63</v>
      </c>
      <c r="E65" t="s">
        <v>64</v>
      </c>
      <c r="F65" t="s">
        <v>65</v>
      </c>
      <c r="G65" t="s">
        <v>66</v>
      </c>
      <c r="H65">
        <v>25000</v>
      </c>
      <c r="I65" t="s">
        <v>108</v>
      </c>
      <c r="J65" t="s">
        <v>31</v>
      </c>
      <c r="K65" t="s">
        <v>109</v>
      </c>
      <c r="L65" t="s">
        <v>90</v>
      </c>
      <c r="M65">
        <v>21300</v>
      </c>
      <c r="N65">
        <v>368</v>
      </c>
      <c r="O65">
        <v>132</v>
      </c>
      <c r="P65">
        <v>10000</v>
      </c>
      <c r="Q65" t="s">
        <v>69</v>
      </c>
      <c r="R65" t="s">
        <v>59</v>
      </c>
      <c r="S65">
        <v>58</v>
      </c>
      <c r="T65" t="s">
        <v>101</v>
      </c>
      <c r="U65" t="s">
        <v>37</v>
      </c>
      <c r="V65" t="s">
        <v>98</v>
      </c>
      <c r="W65" t="s">
        <v>39</v>
      </c>
    </row>
    <row r="66" spans="1:23" x14ac:dyDescent="0.25">
      <c r="A66" t="s">
        <v>213</v>
      </c>
      <c r="B66" t="s">
        <v>73</v>
      </c>
      <c r="C66" t="s">
        <v>74</v>
      </c>
      <c r="D66" t="s">
        <v>75</v>
      </c>
      <c r="E66" t="s">
        <v>76</v>
      </c>
      <c r="F66" t="s">
        <v>77</v>
      </c>
      <c r="G66" t="s">
        <v>29</v>
      </c>
      <c r="H66">
        <v>12000</v>
      </c>
      <c r="I66" t="s">
        <v>112</v>
      </c>
      <c r="J66" t="s">
        <v>95</v>
      </c>
      <c r="K66" t="s">
        <v>113</v>
      </c>
      <c r="L66" t="s">
        <v>114</v>
      </c>
      <c r="M66">
        <v>10400</v>
      </c>
      <c r="N66">
        <v>158</v>
      </c>
      <c r="O66">
        <v>42</v>
      </c>
      <c r="P66">
        <v>4800</v>
      </c>
      <c r="Q66" t="s">
        <v>81</v>
      </c>
      <c r="R66" t="s">
        <v>59</v>
      </c>
      <c r="S66">
        <v>58</v>
      </c>
      <c r="T66" t="s">
        <v>155</v>
      </c>
      <c r="U66" t="s">
        <v>37</v>
      </c>
      <c r="V66" t="s">
        <v>98</v>
      </c>
      <c r="W66" t="s">
        <v>39</v>
      </c>
    </row>
    <row r="67" spans="1:23" x14ac:dyDescent="0.25">
      <c r="A67" t="s">
        <v>213</v>
      </c>
      <c r="B67" t="s">
        <v>85</v>
      </c>
      <c r="C67" t="s">
        <v>25</v>
      </c>
      <c r="D67" t="s">
        <v>75</v>
      </c>
      <c r="E67" t="s">
        <v>86</v>
      </c>
      <c r="F67" t="s">
        <v>87</v>
      </c>
      <c r="G67" t="s">
        <v>66</v>
      </c>
      <c r="H67">
        <v>19000</v>
      </c>
      <c r="I67" t="s">
        <v>193</v>
      </c>
      <c r="J67" t="s">
        <v>31</v>
      </c>
      <c r="K67" t="s">
        <v>194</v>
      </c>
      <c r="L67" t="s">
        <v>33</v>
      </c>
      <c r="M67">
        <v>16200</v>
      </c>
      <c r="N67">
        <v>285</v>
      </c>
      <c r="O67">
        <v>115</v>
      </c>
      <c r="P67">
        <v>7600</v>
      </c>
      <c r="Q67" t="s">
        <v>91</v>
      </c>
      <c r="R67" t="s">
        <v>35</v>
      </c>
      <c r="S67">
        <v>58</v>
      </c>
      <c r="T67" t="s">
        <v>131</v>
      </c>
      <c r="U67" t="s">
        <v>37</v>
      </c>
      <c r="V67" t="s">
        <v>98</v>
      </c>
      <c r="W67" t="s">
        <v>39</v>
      </c>
    </row>
    <row r="68" spans="1:23" x14ac:dyDescent="0.25">
      <c r="A68" t="s">
        <v>215</v>
      </c>
      <c r="B68" t="s">
        <v>24</v>
      </c>
      <c r="C68" t="s">
        <v>25</v>
      </c>
      <c r="D68" t="s">
        <v>26</v>
      </c>
      <c r="E68" t="s">
        <v>27</v>
      </c>
      <c r="F68" t="s">
        <v>28</v>
      </c>
      <c r="G68" t="s">
        <v>29</v>
      </c>
      <c r="H68">
        <v>22000</v>
      </c>
      <c r="I68" t="s">
        <v>30</v>
      </c>
      <c r="J68" t="s">
        <v>31</v>
      </c>
      <c r="K68" t="s">
        <v>32</v>
      </c>
      <c r="L68" t="s">
        <v>33</v>
      </c>
      <c r="M68">
        <v>18800</v>
      </c>
      <c r="N68">
        <v>302</v>
      </c>
      <c r="O68">
        <v>98</v>
      </c>
      <c r="P68">
        <v>8800</v>
      </c>
      <c r="Q68" t="s">
        <v>34</v>
      </c>
      <c r="R68" t="s">
        <v>35</v>
      </c>
      <c r="S68">
        <v>58</v>
      </c>
      <c r="T68" t="s">
        <v>92</v>
      </c>
      <c r="U68" t="s">
        <v>37</v>
      </c>
      <c r="V68" t="s">
        <v>143</v>
      </c>
      <c r="W68" t="s">
        <v>39</v>
      </c>
    </row>
    <row r="69" spans="1:23" x14ac:dyDescent="0.25">
      <c r="A69" t="s">
        <v>215</v>
      </c>
      <c r="B69" t="s">
        <v>40</v>
      </c>
      <c r="C69" t="s">
        <v>25</v>
      </c>
      <c r="D69" t="s">
        <v>26</v>
      </c>
      <c r="E69" t="s">
        <v>41</v>
      </c>
      <c r="F69" t="s">
        <v>42</v>
      </c>
      <c r="G69" t="s">
        <v>29</v>
      </c>
      <c r="H69">
        <v>18500</v>
      </c>
      <c r="I69" t="s">
        <v>43</v>
      </c>
      <c r="J69" t="s">
        <v>44</v>
      </c>
      <c r="K69" t="s">
        <v>45</v>
      </c>
      <c r="L69" t="s">
        <v>46</v>
      </c>
      <c r="M69">
        <v>15500</v>
      </c>
      <c r="N69">
        <v>292</v>
      </c>
      <c r="O69">
        <v>108</v>
      </c>
      <c r="P69">
        <v>7400</v>
      </c>
      <c r="Q69" t="s">
        <v>47</v>
      </c>
      <c r="R69" t="s">
        <v>35</v>
      </c>
      <c r="S69">
        <v>58</v>
      </c>
      <c r="T69" t="s">
        <v>97</v>
      </c>
      <c r="U69" t="s">
        <v>37</v>
      </c>
      <c r="V69" t="s">
        <v>143</v>
      </c>
      <c r="W69" t="s">
        <v>39</v>
      </c>
    </row>
    <row r="70" spans="1:23" x14ac:dyDescent="0.25">
      <c r="A70" t="s">
        <v>215</v>
      </c>
      <c r="B70" t="s">
        <v>50</v>
      </c>
      <c r="C70" t="s">
        <v>51</v>
      </c>
      <c r="D70" t="s">
        <v>26</v>
      </c>
      <c r="E70" t="s">
        <v>52</v>
      </c>
      <c r="F70" t="s">
        <v>53</v>
      </c>
      <c r="G70" t="s">
        <v>54</v>
      </c>
      <c r="H70">
        <v>15000</v>
      </c>
      <c r="I70" t="s">
        <v>55</v>
      </c>
      <c r="J70" t="s">
        <v>44</v>
      </c>
      <c r="K70" t="s">
        <v>56</v>
      </c>
      <c r="L70" t="s">
        <v>57</v>
      </c>
      <c r="M70">
        <v>12600</v>
      </c>
      <c r="N70">
        <v>172</v>
      </c>
      <c r="O70">
        <v>28</v>
      </c>
      <c r="P70">
        <v>6000</v>
      </c>
      <c r="Q70" t="s">
        <v>58</v>
      </c>
      <c r="R70" t="s">
        <v>59</v>
      </c>
      <c r="S70">
        <v>59</v>
      </c>
      <c r="T70" t="s">
        <v>60</v>
      </c>
      <c r="U70" t="s">
        <v>37</v>
      </c>
      <c r="V70" t="s">
        <v>61</v>
      </c>
      <c r="W70" t="s">
        <v>39</v>
      </c>
    </row>
    <row r="71" spans="1:23" x14ac:dyDescent="0.25">
      <c r="A71" t="s">
        <v>215</v>
      </c>
      <c r="B71" t="s">
        <v>62</v>
      </c>
      <c r="C71" t="s">
        <v>25</v>
      </c>
      <c r="D71" t="s">
        <v>63</v>
      </c>
      <c r="E71" t="s">
        <v>64</v>
      </c>
      <c r="F71" t="s">
        <v>65</v>
      </c>
      <c r="G71" t="s">
        <v>66</v>
      </c>
      <c r="H71">
        <v>25000</v>
      </c>
      <c r="I71" t="s">
        <v>67</v>
      </c>
      <c r="J71" t="s">
        <v>44</v>
      </c>
      <c r="K71" t="s">
        <v>68</v>
      </c>
      <c r="L71" t="s">
        <v>33</v>
      </c>
      <c r="M71">
        <v>21100</v>
      </c>
      <c r="N71">
        <v>378</v>
      </c>
      <c r="O71">
        <v>122</v>
      </c>
      <c r="P71">
        <v>10000</v>
      </c>
      <c r="Q71" t="s">
        <v>69</v>
      </c>
      <c r="R71" t="s">
        <v>35</v>
      </c>
      <c r="S71">
        <v>58</v>
      </c>
      <c r="T71" t="s">
        <v>110</v>
      </c>
      <c r="U71" t="s">
        <v>37</v>
      </c>
      <c r="V71" t="s">
        <v>143</v>
      </c>
      <c r="W71" t="s">
        <v>39</v>
      </c>
    </row>
    <row r="72" spans="1:23" x14ac:dyDescent="0.25">
      <c r="A72" t="s">
        <v>215</v>
      </c>
      <c r="B72" t="s">
        <v>73</v>
      </c>
      <c r="C72" t="s">
        <v>74</v>
      </c>
      <c r="D72" t="s">
        <v>75</v>
      </c>
      <c r="E72" t="s">
        <v>76</v>
      </c>
      <c r="F72" t="s">
        <v>77</v>
      </c>
      <c r="G72" t="s">
        <v>29</v>
      </c>
      <c r="H72">
        <v>12000</v>
      </c>
      <c r="I72" t="s">
        <v>78</v>
      </c>
      <c r="J72" t="s">
        <v>31</v>
      </c>
      <c r="K72" t="s">
        <v>79</v>
      </c>
      <c r="L72" t="s">
        <v>80</v>
      </c>
      <c r="M72">
        <v>10300</v>
      </c>
      <c r="N72">
        <v>155</v>
      </c>
      <c r="O72">
        <v>45</v>
      </c>
      <c r="P72">
        <v>4800</v>
      </c>
      <c r="Q72" t="s">
        <v>81</v>
      </c>
      <c r="R72" t="s">
        <v>59</v>
      </c>
      <c r="S72">
        <v>58</v>
      </c>
      <c r="T72" t="s">
        <v>106</v>
      </c>
      <c r="U72" t="s">
        <v>37</v>
      </c>
      <c r="V72" t="s">
        <v>143</v>
      </c>
      <c r="W72" t="s">
        <v>39</v>
      </c>
    </row>
    <row r="73" spans="1:23" x14ac:dyDescent="0.25">
      <c r="A73" t="s">
        <v>215</v>
      </c>
      <c r="B73" t="s">
        <v>85</v>
      </c>
      <c r="C73" t="s">
        <v>25</v>
      </c>
      <c r="D73" t="s">
        <v>75</v>
      </c>
      <c r="E73" t="s">
        <v>216</v>
      </c>
      <c r="F73" t="s">
        <v>66</v>
      </c>
      <c r="G73" t="s">
        <v>217</v>
      </c>
      <c r="H73">
        <v>17860</v>
      </c>
      <c r="I73" t="s">
        <v>44</v>
      </c>
      <c r="J73" t="s">
        <v>89</v>
      </c>
      <c r="K73" t="s">
        <v>90</v>
      </c>
      <c r="L73" t="s">
        <v>188</v>
      </c>
      <c r="M73">
        <v>290</v>
      </c>
      <c r="N73">
        <v>110</v>
      </c>
      <c r="O73">
        <v>7600</v>
      </c>
      <c r="P73">
        <v>22800</v>
      </c>
      <c r="Q73" t="s">
        <v>48</v>
      </c>
      <c r="R73" t="s">
        <v>218</v>
      </c>
      <c r="S73">
        <v>9</v>
      </c>
      <c r="T73" t="s">
        <v>37</v>
      </c>
      <c r="U73" t="s">
        <v>143</v>
      </c>
      <c r="V73" t="s">
        <v>219</v>
      </c>
      <c r="W73" t="s">
        <v>341</v>
      </c>
    </row>
    <row r="74" spans="1:23" x14ac:dyDescent="0.25">
      <c r="A74" t="s">
        <v>220</v>
      </c>
      <c r="B74" t="s">
        <v>24</v>
      </c>
      <c r="C74" t="s">
        <v>25</v>
      </c>
      <c r="D74" t="s">
        <v>26</v>
      </c>
      <c r="E74" t="s">
        <v>27</v>
      </c>
      <c r="F74" t="s">
        <v>28</v>
      </c>
      <c r="G74" t="s">
        <v>29</v>
      </c>
      <c r="H74">
        <v>0</v>
      </c>
      <c r="I74" t="s">
        <v>221</v>
      </c>
      <c r="J74" t="s">
        <v>39</v>
      </c>
      <c r="K74" t="s">
        <v>221</v>
      </c>
      <c r="L74" t="s">
        <v>39</v>
      </c>
      <c r="M74">
        <v>0</v>
      </c>
      <c r="N74">
        <v>0</v>
      </c>
      <c r="O74">
        <v>0</v>
      </c>
      <c r="P74">
        <v>0</v>
      </c>
      <c r="Q74" t="s">
        <v>221</v>
      </c>
      <c r="R74" t="s">
        <v>39</v>
      </c>
      <c r="T74" t="s">
        <v>221</v>
      </c>
      <c r="U74" t="s">
        <v>222</v>
      </c>
      <c r="V74" t="s">
        <v>98</v>
      </c>
      <c r="W74" t="s">
        <v>223</v>
      </c>
    </row>
    <row r="75" spans="1:23" x14ac:dyDescent="0.25">
      <c r="A75" t="s">
        <v>220</v>
      </c>
      <c r="B75" t="s">
        <v>40</v>
      </c>
      <c r="C75" t="s">
        <v>25</v>
      </c>
      <c r="D75" t="s">
        <v>26</v>
      </c>
      <c r="E75" t="s">
        <v>41</v>
      </c>
      <c r="F75" t="s">
        <v>42</v>
      </c>
      <c r="G75" t="s">
        <v>29</v>
      </c>
      <c r="H75">
        <v>0</v>
      </c>
      <c r="I75" t="s">
        <v>221</v>
      </c>
      <c r="J75" t="s">
        <v>39</v>
      </c>
      <c r="K75" t="s">
        <v>221</v>
      </c>
      <c r="L75" t="s">
        <v>39</v>
      </c>
      <c r="M75">
        <v>0</v>
      </c>
      <c r="N75">
        <v>0</v>
      </c>
      <c r="O75">
        <v>0</v>
      </c>
      <c r="P75">
        <v>0</v>
      </c>
      <c r="Q75" t="s">
        <v>221</v>
      </c>
      <c r="R75" t="s">
        <v>39</v>
      </c>
      <c r="T75" t="s">
        <v>221</v>
      </c>
      <c r="U75" t="s">
        <v>222</v>
      </c>
      <c r="V75" t="s">
        <v>98</v>
      </c>
      <c r="W75" t="s">
        <v>224</v>
      </c>
    </row>
    <row r="76" spans="1:23" x14ac:dyDescent="0.25">
      <c r="A76" t="s">
        <v>220</v>
      </c>
      <c r="B76" t="s">
        <v>50</v>
      </c>
      <c r="C76" t="s">
        <v>51</v>
      </c>
      <c r="D76" t="s">
        <v>26</v>
      </c>
      <c r="E76" t="s">
        <v>52</v>
      </c>
      <c r="F76" t="s">
        <v>53</v>
      </c>
      <c r="G76" t="s">
        <v>54</v>
      </c>
      <c r="H76">
        <v>0</v>
      </c>
      <c r="I76" t="s">
        <v>221</v>
      </c>
      <c r="J76" t="s">
        <v>39</v>
      </c>
      <c r="K76" t="s">
        <v>221</v>
      </c>
      <c r="L76" t="s">
        <v>39</v>
      </c>
      <c r="M76">
        <v>0</v>
      </c>
      <c r="N76">
        <v>0</v>
      </c>
      <c r="O76">
        <v>0</v>
      </c>
      <c r="P76">
        <v>0</v>
      </c>
      <c r="Q76" t="s">
        <v>221</v>
      </c>
      <c r="R76" t="s">
        <v>39</v>
      </c>
      <c r="T76" t="s">
        <v>221</v>
      </c>
      <c r="U76" t="s">
        <v>222</v>
      </c>
      <c r="V76" t="s">
        <v>98</v>
      </c>
      <c r="W76" t="s">
        <v>224</v>
      </c>
    </row>
    <row r="77" spans="1:23" x14ac:dyDescent="0.25">
      <c r="A77" t="s">
        <v>220</v>
      </c>
      <c r="B77" t="s">
        <v>62</v>
      </c>
      <c r="C77" t="s">
        <v>25</v>
      </c>
      <c r="D77" t="s">
        <v>63</v>
      </c>
      <c r="E77" t="s">
        <v>64</v>
      </c>
      <c r="F77" t="s">
        <v>65</v>
      </c>
      <c r="G77" t="s">
        <v>66</v>
      </c>
      <c r="H77">
        <v>0</v>
      </c>
      <c r="I77" t="s">
        <v>221</v>
      </c>
      <c r="J77" t="s">
        <v>39</v>
      </c>
      <c r="K77" t="s">
        <v>221</v>
      </c>
      <c r="L77" t="s">
        <v>39</v>
      </c>
      <c r="M77">
        <v>0</v>
      </c>
      <c r="N77">
        <v>0</v>
      </c>
      <c r="O77">
        <v>0</v>
      </c>
      <c r="P77">
        <v>0</v>
      </c>
      <c r="Q77" t="s">
        <v>221</v>
      </c>
      <c r="R77" t="s">
        <v>39</v>
      </c>
      <c r="T77" t="s">
        <v>221</v>
      </c>
      <c r="U77" t="s">
        <v>222</v>
      </c>
      <c r="V77" t="s">
        <v>98</v>
      </c>
      <c r="W77" t="s">
        <v>224</v>
      </c>
    </row>
    <row r="78" spans="1:23" x14ac:dyDescent="0.25">
      <c r="A78" t="s">
        <v>220</v>
      </c>
      <c r="B78" t="s">
        <v>73</v>
      </c>
      <c r="C78" t="s">
        <v>74</v>
      </c>
      <c r="D78" t="s">
        <v>75</v>
      </c>
      <c r="E78" t="s">
        <v>76</v>
      </c>
      <c r="F78" t="s">
        <v>77</v>
      </c>
      <c r="G78" t="s">
        <v>29</v>
      </c>
      <c r="H78">
        <v>0</v>
      </c>
      <c r="I78" t="s">
        <v>221</v>
      </c>
      <c r="J78" t="s">
        <v>39</v>
      </c>
      <c r="K78" t="s">
        <v>221</v>
      </c>
      <c r="L78" t="s">
        <v>39</v>
      </c>
      <c r="M78">
        <v>0</v>
      </c>
      <c r="N78">
        <v>0</v>
      </c>
      <c r="O78">
        <v>0</v>
      </c>
      <c r="P78">
        <v>0</v>
      </c>
      <c r="Q78" t="s">
        <v>221</v>
      </c>
      <c r="R78" t="s">
        <v>39</v>
      </c>
      <c r="T78" t="s">
        <v>221</v>
      </c>
      <c r="U78" t="s">
        <v>222</v>
      </c>
      <c r="V78" t="s">
        <v>98</v>
      </c>
      <c r="W78" t="s">
        <v>224</v>
      </c>
    </row>
    <row r="79" spans="1:23" x14ac:dyDescent="0.25">
      <c r="A79" t="s">
        <v>220</v>
      </c>
      <c r="B79" t="s">
        <v>85</v>
      </c>
      <c r="C79" t="s">
        <v>25</v>
      </c>
      <c r="D79" t="s">
        <v>75</v>
      </c>
      <c r="E79" t="s">
        <v>86</v>
      </c>
      <c r="F79" t="s">
        <v>87</v>
      </c>
      <c r="G79" t="s">
        <v>66</v>
      </c>
      <c r="H79">
        <v>0</v>
      </c>
      <c r="I79" t="s">
        <v>221</v>
      </c>
      <c r="J79" t="s">
        <v>39</v>
      </c>
      <c r="K79" t="s">
        <v>221</v>
      </c>
      <c r="L79" t="s">
        <v>39</v>
      </c>
      <c r="M79">
        <v>0</v>
      </c>
      <c r="N79">
        <v>0</v>
      </c>
      <c r="O79">
        <v>0</v>
      </c>
      <c r="P79">
        <v>0</v>
      </c>
      <c r="Q79" t="s">
        <v>221</v>
      </c>
      <c r="R79" t="s">
        <v>39</v>
      </c>
      <c r="T79" t="s">
        <v>221</v>
      </c>
      <c r="U79" t="s">
        <v>222</v>
      </c>
      <c r="V79" t="s">
        <v>98</v>
      </c>
      <c r="W79" t="s">
        <v>224</v>
      </c>
    </row>
    <row r="80" spans="1:23" x14ac:dyDescent="0.25">
      <c r="A80" t="s">
        <v>225</v>
      </c>
      <c r="B80" t="s">
        <v>24</v>
      </c>
      <c r="C80" t="s">
        <v>25</v>
      </c>
      <c r="D80" t="s">
        <v>26</v>
      </c>
      <c r="E80" t="s">
        <v>27</v>
      </c>
      <c r="F80" t="s">
        <v>28</v>
      </c>
      <c r="G80" t="s">
        <v>29</v>
      </c>
      <c r="H80">
        <v>22000</v>
      </c>
      <c r="I80" t="s">
        <v>94</v>
      </c>
      <c r="J80" t="s">
        <v>95</v>
      </c>
      <c r="K80" t="s">
        <v>141</v>
      </c>
      <c r="L80" t="s">
        <v>142</v>
      </c>
      <c r="M80">
        <v>19100</v>
      </c>
      <c r="N80">
        <v>288</v>
      </c>
      <c r="O80">
        <v>112</v>
      </c>
      <c r="P80">
        <v>8800</v>
      </c>
      <c r="Q80" t="s">
        <v>34</v>
      </c>
      <c r="R80" t="s">
        <v>59</v>
      </c>
      <c r="S80">
        <v>59</v>
      </c>
      <c r="T80" t="s">
        <v>131</v>
      </c>
      <c r="U80" t="s">
        <v>37</v>
      </c>
      <c r="V80" t="s">
        <v>185</v>
      </c>
      <c r="W80" t="s">
        <v>226</v>
      </c>
    </row>
    <row r="81" spans="1:23" x14ac:dyDescent="0.25">
      <c r="A81" t="s">
        <v>225</v>
      </c>
      <c r="B81" t="s">
        <v>40</v>
      </c>
      <c r="C81" t="s">
        <v>25</v>
      </c>
      <c r="D81" t="s">
        <v>26</v>
      </c>
      <c r="E81" t="s">
        <v>41</v>
      </c>
      <c r="F81" t="s">
        <v>42</v>
      </c>
      <c r="G81" t="s">
        <v>29</v>
      </c>
      <c r="H81">
        <v>18500</v>
      </c>
      <c r="I81" t="s">
        <v>144</v>
      </c>
      <c r="J81" t="s">
        <v>145</v>
      </c>
      <c r="K81" t="s">
        <v>227</v>
      </c>
      <c r="L81" t="s">
        <v>33</v>
      </c>
      <c r="M81">
        <v>16100</v>
      </c>
      <c r="N81">
        <v>302</v>
      </c>
      <c r="O81">
        <v>98</v>
      </c>
      <c r="P81">
        <v>7400</v>
      </c>
      <c r="Q81" t="s">
        <v>47</v>
      </c>
      <c r="R81" t="s">
        <v>59</v>
      </c>
      <c r="S81">
        <v>59</v>
      </c>
      <c r="T81" t="s">
        <v>60</v>
      </c>
      <c r="U81" t="s">
        <v>37</v>
      </c>
      <c r="V81" t="s">
        <v>185</v>
      </c>
      <c r="W81" t="s">
        <v>39</v>
      </c>
    </row>
    <row r="82" spans="1:23" x14ac:dyDescent="0.25">
      <c r="A82" t="s">
        <v>225</v>
      </c>
      <c r="B82" t="s">
        <v>50</v>
      </c>
      <c r="C82" t="s">
        <v>51</v>
      </c>
      <c r="D82" t="s">
        <v>26</v>
      </c>
      <c r="E82" t="s">
        <v>52</v>
      </c>
      <c r="F82" t="s">
        <v>53</v>
      </c>
      <c r="G82" t="s">
        <v>54</v>
      </c>
      <c r="H82">
        <v>15000</v>
      </c>
      <c r="I82" t="s">
        <v>81</v>
      </c>
      <c r="J82" t="s">
        <v>95</v>
      </c>
      <c r="K82" t="s">
        <v>146</v>
      </c>
      <c r="L82" t="s">
        <v>147</v>
      </c>
      <c r="M82">
        <v>12900</v>
      </c>
      <c r="N82">
        <v>166</v>
      </c>
      <c r="O82">
        <v>34</v>
      </c>
      <c r="P82">
        <v>6000</v>
      </c>
      <c r="Q82" t="s">
        <v>58</v>
      </c>
      <c r="R82" t="s">
        <v>148</v>
      </c>
      <c r="S82">
        <v>60</v>
      </c>
      <c r="T82" t="s">
        <v>106</v>
      </c>
      <c r="U82" t="s">
        <v>37</v>
      </c>
      <c r="V82" t="s">
        <v>191</v>
      </c>
      <c r="W82" t="s">
        <v>39</v>
      </c>
    </row>
    <row r="83" spans="1:23" x14ac:dyDescent="0.25">
      <c r="A83" t="s">
        <v>225</v>
      </c>
      <c r="B83" t="s">
        <v>62</v>
      </c>
      <c r="C83" t="s">
        <v>25</v>
      </c>
      <c r="D83" t="s">
        <v>63</v>
      </c>
      <c r="E83" t="s">
        <v>64</v>
      </c>
      <c r="F83" t="s">
        <v>65</v>
      </c>
      <c r="G83" t="s">
        <v>66</v>
      </c>
      <c r="H83">
        <v>25000</v>
      </c>
      <c r="I83" t="s">
        <v>150</v>
      </c>
      <c r="J83" t="s">
        <v>95</v>
      </c>
      <c r="K83" t="s">
        <v>151</v>
      </c>
      <c r="L83" t="s">
        <v>80</v>
      </c>
      <c r="M83">
        <v>21600</v>
      </c>
      <c r="N83">
        <v>358</v>
      </c>
      <c r="O83">
        <v>142</v>
      </c>
      <c r="P83">
        <v>10000</v>
      </c>
      <c r="Q83" t="s">
        <v>69</v>
      </c>
      <c r="R83" t="s">
        <v>59</v>
      </c>
      <c r="S83">
        <v>58</v>
      </c>
      <c r="T83" t="s">
        <v>92</v>
      </c>
      <c r="U83" t="s">
        <v>37</v>
      </c>
      <c r="V83" t="s">
        <v>185</v>
      </c>
      <c r="W83" t="s">
        <v>39</v>
      </c>
    </row>
    <row r="84" spans="1:23" x14ac:dyDescent="0.25">
      <c r="A84" t="s">
        <v>225</v>
      </c>
      <c r="B84" t="s">
        <v>73</v>
      </c>
      <c r="C84" t="s">
        <v>74</v>
      </c>
      <c r="D84" t="s">
        <v>75</v>
      </c>
      <c r="E84" t="s">
        <v>76</v>
      </c>
      <c r="F84" t="s">
        <v>77</v>
      </c>
      <c r="G84" t="s">
        <v>29</v>
      </c>
      <c r="H84">
        <v>12000</v>
      </c>
      <c r="I84" t="s">
        <v>153</v>
      </c>
      <c r="J84" t="s">
        <v>145</v>
      </c>
      <c r="K84" t="s">
        <v>154</v>
      </c>
      <c r="L84" t="s">
        <v>33</v>
      </c>
      <c r="M84">
        <v>10500</v>
      </c>
      <c r="N84">
        <v>150</v>
      </c>
      <c r="O84">
        <v>50</v>
      </c>
      <c r="P84">
        <v>4800</v>
      </c>
      <c r="Q84" t="s">
        <v>81</v>
      </c>
      <c r="R84" t="s">
        <v>59</v>
      </c>
      <c r="S84">
        <v>58</v>
      </c>
      <c r="T84" t="s">
        <v>155</v>
      </c>
      <c r="U84" t="s">
        <v>37</v>
      </c>
      <c r="V84" t="s">
        <v>192</v>
      </c>
      <c r="W84" t="s">
        <v>39</v>
      </c>
    </row>
    <row r="85" spans="1:23" x14ac:dyDescent="0.25">
      <c r="A85" t="s">
        <v>225</v>
      </c>
      <c r="B85" t="s">
        <v>85</v>
      </c>
      <c r="C85" t="s">
        <v>25</v>
      </c>
      <c r="D85" t="s">
        <v>75</v>
      </c>
      <c r="E85" t="s">
        <v>86</v>
      </c>
      <c r="F85" t="s">
        <v>87</v>
      </c>
      <c r="G85" t="s">
        <v>66</v>
      </c>
      <c r="H85">
        <v>19000</v>
      </c>
      <c r="I85" t="s">
        <v>157</v>
      </c>
      <c r="J85" t="s">
        <v>145</v>
      </c>
      <c r="K85" t="s">
        <v>158</v>
      </c>
      <c r="L85" t="s">
        <v>159</v>
      </c>
      <c r="M85">
        <v>16500</v>
      </c>
      <c r="N85">
        <v>282</v>
      </c>
      <c r="O85">
        <v>118</v>
      </c>
      <c r="P85">
        <v>7600</v>
      </c>
      <c r="Q85" t="s">
        <v>91</v>
      </c>
      <c r="R85" t="s">
        <v>35</v>
      </c>
      <c r="S85">
        <v>58</v>
      </c>
      <c r="T85" t="s">
        <v>60</v>
      </c>
      <c r="U85" t="s">
        <v>37</v>
      </c>
      <c r="V85" t="s">
        <v>185</v>
      </c>
      <c r="W85" t="s">
        <v>39</v>
      </c>
    </row>
    <row r="86" spans="1:23" x14ac:dyDescent="0.25">
      <c r="A86" t="s">
        <v>228</v>
      </c>
      <c r="B86" t="s">
        <v>24</v>
      </c>
      <c r="C86" t="s">
        <v>25</v>
      </c>
      <c r="D86" t="s">
        <v>26</v>
      </c>
      <c r="E86" t="s">
        <v>27</v>
      </c>
      <c r="F86" t="s">
        <v>28</v>
      </c>
      <c r="G86" t="s">
        <v>29</v>
      </c>
      <c r="H86">
        <v>22000</v>
      </c>
      <c r="I86" t="s">
        <v>119</v>
      </c>
      <c r="J86" t="s">
        <v>44</v>
      </c>
      <c r="K86" t="s">
        <v>120</v>
      </c>
      <c r="L86" t="s">
        <v>46</v>
      </c>
      <c r="M86">
        <v>18500</v>
      </c>
      <c r="N86">
        <v>312</v>
      </c>
      <c r="O86">
        <v>88</v>
      </c>
      <c r="P86">
        <v>8800</v>
      </c>
      <c r="Q86" t="s">
        <v>34</v>
      </c>
      <c r="R86" t="s">
        <v>48</v>
      </c>
      <c r="S86">
        <v>57</v>
      </c>
      <c r="T86" t="s">
        <v>36</v>
      </c>
      <c r="U86" t="s">
        <v>37</v>
      </c>
      <c r="V86" t="s">
        <v>98</v>
      </c>
      <c r="W86" t="s">
        <v>39</v>
      </c>
    </row>
    <row r="87" spans="1:23" x14ac:dyDescent="0.25">
      <c r="A87" t="s">
        <v>228</v>
      </c>
      <c r="B87" t="s">
        <v>40</v>
      </c>
      <c r="C87" t="s">
        <v>25</v>
      </c>
      <c r="D87" t="s">
        <v>26</v>
      </c>
      <c r="E87" t="s">
        <v>41</v>
      </c>
      <c r="F87" t="s">
        <v>42</v>
      </c>
      <c r="G87" t="s">
        <v>29</v>
      </c>
      <c r="H87">
        <v>18500</v>
      </c>
      <c r="I87" t="s">
        <v>122</v>
      </c>
      <c r="J87" t="s">
        <v>123</v>
      </c>
      <c r="K87" t="s">
        <v>124</v>
      </c>
      <c r="L87" t="s">
        <v>125</v>
      </c>
      <c r="M87">
        <v>15200</v>
      </c>
      <c r="N87">
        <v>308</v>
      </c>
      <c r="O87">
        <v>92</v>
      </c>
      <c r="P87">
        <v>7400</v>
      </c>
      <c r="Q87" t="s">
        <v>47</v>
      </c>
      <c r="R87" t="s">
        <v>100</v>
      </c>
      <c r="S87">
        <v>56</v>
      </c>
      <c r="T87" t="s">
        <v>70</v>
      </c>
      <c r="U87" t="s">
        <v>37</v>
      </c>
      <c r="V87" t="s">
        <v>98</v>
      </c>
      <c r="W87" t="s">
        <v>39</v>
      </c>
    </row>
    <row r="88" spans="1:23" x14ac:dyDescent="0.25">
      <c r="A88" t="s">
        <v>228</v>
      </c>
      <c r="B88" t="s">
        <v>50</v>
      </c>
      <c r="C88" t="s">
        <v>51</v>
      </c>
      <c r="D88" t="s">
        <v>26</v>
      </c>
      <c r="E88" t="s">
        <v>52</v>
      </c>
      <c r="F88" t="s">
        <v>53</v>
      </c>
      <c r="G88" t="s">
        <v>54</v>
      </c>
      <c r="H88">
        <v>15000</v>
      </c>
      <c r="I88" t="s">
        <v>128</v>
      </c>
      <c r="J88" t="s">
        <v>123</v>
      </c>
      <c r="K88" t="s">
        <v>229</v>
      </c>
      <c r="L88" t="s">
        <v>171</v>
      </c>
      <c r="M88">
        <v>12350</v>
      </c>
      <c r="N88">
        <v>180</v>
      </c>
      <c r="O88">
        <v>20</v>
      </c>
      <c r="P88">
        <v>6000</v>
      </c>
      <c r="Q88" t="s">
        <v>58</v>
      </c>
      <c r="R88" t="s">
        <v>48</v>
      </c>
      <c r="S88">
        <v>57</v>
      </c>
      <c r="T88" t="s">
        <v>49</v>
      </c>
      <c r="U88" t="s">
        <v>37</v>
      </c>
      <c r="V88" t="s">
        <v>98</v>
      </c>
      <c r="W88" t="s">
        <v>39</v>
      </c>
    </row>
    <row r="89" spans="1:23" x14ac:dyDescent="0.25">
      <c r="A89" t="s">
        <v>228</v>
      </c>
      <c r="B89" t="s">
        <v>62</v>
      </c>
      <c r="C89" t="s">
        <v>25</v>
      </c>
      <c r="D89" t="s">
        <v>63</v>
      </c>
      <c r="E89" t="s">
        <v>64</v>
      </c>
      <c r="F89" t="s">
        <v>65</v>
      </c>
      <c r="G89" t="s">
        <v>66</v>
      </c>
      <c r="H89">
        <v>25000</v>
      </c>
      <c r="I89" t="s">
        <v>172</v>
      </c>
      <c r="J89" t="s">
        <v>123</v>
      </c>
      <c r="K89" t="s">
        <v>230</v>
      </c>
      <c r="L89" t="s">
        <v>57</v>
      </c>
      <c r="M89">
        <v>20600</v>
      </c>
      <c r="N89">
        <v>390</v>
      </c>
      <c r="O89">
        <v>110</v>
      </c>
      <c r="P89">
        <v>10000</v>
      </c>
      <c r="Q89" t="s">
        <v>69</v>
      </c>
      <c r="R89" t="s">
        <v>100</v>
      </c>
      <c r="S89">
        <v>56</v>
      </c>
      <c r="T89" t="s">
        <v>231</v>
      </c>
      <c r="U89" t="s">
        <v>37</v>
      </c>
      <c r="V89" t="s">
        <v>98</v>
      </c>
      <c r="W89" t="s">
        <v>232</v>
      </c>
    </row>
    <row r="90" spans="1:23" x14ac:dyDescent="0.25">
      <c r="A90" t="s">
        <v>228</v>
      </c>
      <c r="B90" t="s">
        <v>73</v>
      </c>
      <c r="C90" t="s">
        <v>74</v>
      </c>
      <c r="D90" t="s">
        <v>75</v>
      </c>
      <c r="E90" t="s">
        <v>76</v>
      </c>
      <c r="F90" t="s">
        <v>77</v>
      </c>
      <c r="G90" t="s">
        <v>29</v>
      </c>
      <c r="H90">
        <v>12000</v>
      </c>
      <c r="I90" t="s">
        <v>176</v>
      </c>
      <c r="J90" t="s">
        <v>123</v>
      </c>
      <c r="K90" t="s">
        <v>177</v>
      </c>
      <c r="L90" t="s">
        <v>46</v>
      </c>
      <c r="M90">
        <v>10000</v>
      </c>
      <c r="N90">
        <v>165</v>
      </c>
      <c r="O90">
        <v>35</v>
      </c>
      <c r="P90">
        <v>4800</v>
      </c>
      <c r="Q90" t="s">
        <v>81</v>
      </c>
      <c r="R90" t="s">
        <v>48</v>
      </c>
      <c r="S90">
        <v>56</v>
      </c>
      <c r="T90" t="s">
        <v>60</v>
      </c>
      <c r="U90" t="s">
        <v>37</v>
      </c>
      <c r="V90" t="s">
        <v>98</v>
      </c>
      <c r="W90" t="s">
        <v>39</v>
      </c>
    </row>
    <row r="91" spans="1:23" x14ac:dyDescent="0.25">
      <c r="A91" t="s">
        <v>228</v>
      </c>
      <c r="B91" t="s">
        <v>85</v>
      </c>
      <c r="C91" t="s">
        <v>25</v>
      </c>
      <c r="D91" t="s">
        <v>75</v>
      </c>
      <c r="E91" t="s">
        <v>86</v>
      </c>
      <c r="F91" t="s">
        <v>87</v>
      </c>
      <c r="G91" t="s">
        <v>66</v>
      </c>
      <c r="H91">
        <v>19000</v>
      </c>
      <c r="I91" t="s">
        <v>178</v>
      </c>
      <c r="J91" t="s">
        <v>147</v>
      </c>
      <c r="K91" t="s">
        <v>196</v>
      </c>
      <c r="L91" t="s">
        <v>57</v>
      </c>
      <c r="M91">
        <v>15300</v>
      </c>
      <c r="N91">
        <v>302</v>
      </c>
      <c r="O91">
        <v>98</v>
      </c>
      <c r="P91">
        <v>7600</v>
      </c>
      <c r="Q91" t="s">
        <v>91</v>
      </c>
      <c r="R91" t="s">
        <v>166</v>
      </c>
      <c r="S91">
        <v>55</v>
      </c>
      <c r="T91" t="s">
        <v>121</v>
      </c>
      <c r="U91" t="s">
        <v>126</v>
      </c>
      <c r="V91" t="s">
        <v>98</v>
      </c>
      <c r="W91" t="s">
        <v>233</v>
      </c>
    </row>
    <row r="92" spans="1:23" x14ac:dyDescent="0.25">
      <c r="A92" t="s">
        <v>234</v>
      </c>
      <c r="B92" t="s">
        <v>24</v>
      </c>
      <c r="C92" t="s">
        <v>25</v>
      </c>
      <c r="D92" t="s">
        <v>26</v>
      </c>
      <c r="E92" t="s">
        <v>27</v>
      </c>
      <c r="F92" t="s">
        <v>28</v>
      </c>
      <c r="G92" t="s">
        <v>29</v>
      </c>
      <c r="H92">
        <v>22000</v>
      </c>
      <c r="I92" t="s">
        <v>94</v>
      </c>
      <c r="J92" t="s">
        <v>95</v>
      </c>
      <c r="K92" t="s">
        <v>96</v>
      </c>
      <c r="L92" t="s">
        <v>33</v>
      </c>
      <c r="M92">
        <v>19000</v>
      </c>
      <c r="N92">
        <v>298</v>
      </c>
      <c r="O92">
        <v>102</v>
      </c>
      <c r="P92">
        <v>8800</v>
      </c>
      <c r="Q92" t="s">
        <v>34</v>
      </c>
      <c r="R92" t="s">
        <v>59</v>
      </c>
      <c r="S92">
        <v>59</v>
      </c>
      <c r="T92" t="s">
        <v>49</v>
      </c>
      <c r="U92" t="s">
        <v>37</v>
      </c>
      <c r="V92" t="s">
        <v>98</v>
      </c>
      <c r="W92" t="s">
        <v>39</v>
      </c>
    </row>
    <row r="93" spans="1:23" x14ac:dyDescent="0.25">
      <c r="A93" t="s">
        <v>234</v>
      </c>
      <c r="B93" t="s">
        <v>40</v>
      </c>
      <c r="C93" t="s">
        <v>25</v>
      </c>
      <c r="D93" t="s">
        <v>26</v>
      </c>
      <c r="E93" t="s">
        <v>41</v>
      </c>
      <c r="F93" t="s">
        <v>42</v>
      </c>
      <c r="G93" t="s">
        <v>29</v>
      </c>
      <c r="H93">
        <v>18500</v>
      </c>
      <c r="I93" t="s">
        <v>187</v>
      </c>
      <c r="J93" t="s">
        <v>31</v>
      </c>
      <c r="K93" t="s">
        <v>188</v>
      </c>
      <c r="L93" t="s">
        <v>147</v>
      </c>
      <c r="M93">
        <v>15600</v>
      </c>
      <c r="N93">
        <v>308</v>
      </c>
      <c r="O93">
        <v>92</v>
      </c>
      <c r="P93">
        <v>7400</v>
      </c>
      <c r="Q93" t="s">
        <v>47</v>
      </c>
      <c r="R93" t="s">
        <v>35</v>
      </c>
      <c r="S93">
        <v>58</v>
      </c>
      <c r="T93" t="s">
        <v>97</v>
      </c>
      <c r="U93" t="s">
        <v>37</v>
      </c>
      <c r="V93" t="s">
        <v>98</v>
      </c>
      <c r="W93" t="s">
        <v>39</v>
      </c>
    </row>
    <row r="94" spans="1:23" x14ac:dyDescent="0.25">
      <c r="A94" t="s">
        <v>234</v>
      </c>
      <c r="B94" t="s">
        <v>50</v>
      </c>
      <c r="C94" t="s">
        <v>51</v>
      </c>
      <c r="D94" t="s">
        <v>26</v>
      </c>
      <c r="E94" t="s">
        <v>52</v>
      </c>
      <c r="F94" t="s">
        <v>53</v>
      </c>
      <c r="G94" t="s">
        <v>54</v>
      </c>
      <c r="H94">
        <v>15000</v>
      </c>
      <c r="I94" t="s">
        <v>103</v>
      </c>
      <c r="J94" t="s">
        <v>31</v>
      </c>
      <c r="K94" t="s">
        <v>189</v>
      </c>
      <c r="L94" t="s">
        <v>190</v>
      </c>
      <c r="M94">
        <v>12700</v>
      </c>
      <c r="N94">
        <v>170</v>
      </c>
      <c r="O94">
        <v>30</v>
      </c>
      <c r="P94">
        <v>6000</v>
      </c>
      <c r="Q94" t="s">
        <v>58</v>
      </c>
      <c r="R94" t="s">
        <v>59</v>
      </c>
      <c r="S94">
        <v>59</v>
      </c>
      <c r="T94" t="s">
        <v>82</v>
      </c>
      <c r="U94" t="s">
        <v>37</v>
      </c>
      <c r="V94" t="s">
        <v>98</v>
      </c>
      <c r="W94" t="s">
        <v>39</v>
      </c>
    </row>
    <row r="95" spans="1:23" x14ac:dyDescent="0.25">
      <c r="A95" t="s">
        <v>234</v>
      </c>
      <c r="B95" t="s">
        <v>62</v>
      </c>
      <c r="C95" t="s">
        <v>25</v>
      </c>
      <c r="D95" t="s">
        <v>63</v>
      </c>
      <c r="E95" t="s">
        <v>64</v>
      </c>
      <c r="F95" t="s">
        <v>65</v>
      </c>
      <c r="G95" t="s">
        <v>66</v>
      </c>
      <c r="H95">
        <v>25000</v>
      </c>
      <c r="I95" t="s">
        <v>108</v>
      </c>
      <c r="J95" t="s">
        <v>31</v>
      </c>
      <c r="K95" t="s">
        <v>109</v>
      </c>
      <c r="L95" t="s">
        <v>90</v>
      </c>
      <c r="M95">
        <v>21300</v>
      </c>
      <c r="N95">
        <v>370</v>
      </c>
      <c r="O95">
        <v>130</v>
      </c>
      <c r="P95">
        <v>10000</v>
      </c>
      <c r="Q95" t="s">
        <v>69</v>
      </c>
      <c r="R95" t="s">
        <v>59</v>
      </c>
      <c r="S95">
        <v>58</v>
      </c>
      <c r="T95" t="s">
        <v>36</v>
      </c>
      <c r="U95" t="s">
        <v>37</v>
      </c>
      <c r="V95" t="s">
        <v>98</v>
      </c>
      <c r="W95" t="s">
        <v>39</v>
      </c>
    </row>
    <row r="96" spans="1:23" x14ac:dyDescent="0.25">
      <c r="A96" t="s">
        <v>234</v>
      </c>
      <c r="B96" t="s">
        <v>73</v>
      </c>
      <c r="C96" t="s">
        <v>74</v>
      </c>
      <c r="D96" t="s">
        <v>75</v>
      </c>
      <c r="E96" t="s">
        <v>76</v>
      </c>
      <c r="F96" t="s">
        <v>77</v>
      </c>
      <c r="G96" t="s">
        <v>29</v>
      </c>
      <c r="H96">
        <v>12000</v>
      </c>
      <c r="I96" t="s">
        <v>112</v>
      </c>
      <c r="J96" t="s">
        <v>95</v>
      </c>
      <c r="K96" t="s">
        <v>113</v>
      </c>
      <c r="L96" t="s">
        <v>114</v>
      </c>
      <c r="M96">
        <v>10400</v>
      </c>
      <c r="N96">
        <v>158</v>
      </c>
      <c r="O96">
        <v>42</v>
      </c>
      <c r="P96">
        <v>4800</v>
      </c>
      <c r="Q96" t="s">
        <v>81</v>
      </c>
      <c r="R96" t="s">
        <v>59</v>
      </c>
      <c r="S96">
        <v>58</v>
      </c>
      <c r="T96" t="s">
        <v>155</v>
      </c>
      <c r="U96" t="s">
        <v>37</v>
      </c>
      <c r="V96" t="s">
        <v>98</v>
      </c>
      <c r="W96" t="s">
        <v>39</v>
      </c>
    </row>
    <row r="97" spans="1:23" x14ac:dyDescent="0.25">
      <c r="A97" t="s">
        <v>234</v>
      </c>
      <c r="B97" t="s">
        <v>85</v>
      </c>
      <c r="C97" t="s">
        <v>25</v>
      </c>
      <c r="D97" t="s">
        <v>75</v>
      </c>
      <c r="E97" t="s">
        <v>86</v>
      </c>
      <c r="F97" t="s">
        <v>87</v>
      </c>
      <c r="G97" t="s">
        <v>66</v>
      </c>
      <c r="H97">
        <v>19000</v>
      </c>
      <c r="I97" t="s">
        <v>193</v>
      </c>
      <c r="J97" t="s">
        <v>31</v>
      </c>
      <c r="K97" t="s">
        <v>194</v>
      </c>
      <c r="L97" t="s">
        <v>33</v>
      </c>
      <c r="M97">
        <v>16200</v>
      </c>
      <c r="N97">
        <v>286</v>
      </c>
      <c r="O97">
        <v>114</v>
      </c>
      <c r="P97">
        <v>7600</v>
      </c>
      <c r="Q97" t="s">
        <v>91</v>
      </c>
      <c r="R97" t="s">
        <v>35</v>
      </c>
      <c r="S97">
        <v>58</v>
      </c>
      <c r="T97" t="s">
        <v>131</v>
      </c>
      <c r="U97" t="s">
        <v>37</v>
      </c>
      <c r="V97" t="s">
        <v>98</v>
      </c>
      <c r="W97" t="s">
        <v>39</v>
      </c>
    </row>
    <row r="98" spans="1:23" x14ac:dyDescent="0.25">
      <c r="A98" t="s">
        <v>235</v>
      </c>
      <c r="B98" t="s">
        <v>24</v>
      </c>
      <c r="C98" t="s">
        <v>25</v>
      </c>
      <c r="D98" t="s">
        <v>26</v>
      </c>
      <c r="E98" t="s">
        <v>27</v>
      </c>
      <c r="F98" t="s">
        <v>28</v>
      </c>
      <c r="G98" t="s">
        <v>29</v>
      </c>
      <c r="H98">
        <v>22000</v>
      </c>
      <c r="I98" t="s">
        <v>30</v>
      </c>
      <c r="J98" t="s">
        <v>31</v>
      </c>
      <c r="K98" t="s">
        <v>32</v>
      </c>
      <c r="L98" t="s">
        <v>33</v>
      </c>
      <c r="M98">
        <v>18800</v>
      </c>
      <c r="N98">
        <v>302</v>
      </c>
      <c r="O98">
        <v>98</v>
      </c>
      <c r="P98">
        <v>8800</v>
      </c>
      <c r="Q98" t="s">
        <v>34</v>
      </c>
      <c r="R98" t="s">
        <v>35</v>
      </c>
      <c r="S98">
        <v>58</v>
      </c>
      <c r="T98" t="s">
        <v>101</v>
      </c>
      <c r="U98" t="s">
        <v>37</v>
      </c>
      <c r="V98" t="s">
        <v>143</v>
      </c>
      <c r="W98" t="s">
        <v>39</v>
      </c>
    </row>
    <row r="99" spans="1:23" x14ac:dyDescent="0.25">
      <c r="A99" t="s">
        <v>235</v>
      </c>
      <c r="B99" t="s">
        <v>40</v>
      </c>
      <c r="C99" t="s">
        <v>25</v>
      </c>
      <c r="D99" t="s">
        <v>26</v>
      </c>
      <c r="E99" t="s">
        <v>41</v>
      </c>
      <c r="F99" t="s">
        <v>42</v>
      </c>
      <c r="G99" t="s">
        <v>29</v>
      </c>
      <c r="H99">
        <v>18500</v>
      </c>
      <c r="I99" t="s">
        <v>43</v>
      </c>
      <c r="J99" t="s">
        <v>44</v>
      </c>
      <c r="K99" t="s">
        <v>45</v>
      </c>
      <c r="L99" t="s">
        <v>46</v>
      </c>
      <c r="M99">
        <v>15500</v>
      </c>
      <c r="N99">
        <v>295</v>
      </c>
      <c r="O99">
        <v>105</v>
      </c>
      <c r="P99">
        <v>7400</v>
      </c>
      <c r="Q99" t="s">
        <v>47</v>
      </c>
      <c r="R99" t="s">
        <v>35</v>
      </c>
      <c r="S99">
        <v>58</v>
      </c>
      <c r="T99" t="s">
        <v>92</v>
      </c>
      <c r="U99" t="s">
        <v>37</v>
      </c>
      <c r="V99" t="s">
        <v>143</v>
      </c>
      <c r="W99" t="s">
        <v>39</v>
      </c>
    </row>
    <row r="100" spans="1:23" x14ac:dyDescent="0.25">
      <c r="A100" t="s">
        <v>235</v>
      </c>
      <c r="B100" t="s">
        <v>50</v>
      </c>
      <c r="C100" t="s">
        <v>51</v>
      </c>
      <c r="D100" t="s">
        <v>26</v>
      </c>
      <c r="E100" t="s">
        <v>52</v>
      </c>
      <c r="F100" t="s">
        <v>53</v>
      </c>
      <c r="G100" t="s">
        <v>54</v>
      </c>
      <c r="H100">
        <v>15000</v>
      </c>
      <c r="I100" t="s">
        <v>55</v>
      </c>
      <c r="J100" t="s">
        <v>44</v>
      </c>
      <c r="K100" t="s">
        <v>56</v>
      </c>
      <c r="L100" t="s">
        <v>57</v>
      </c>
      <c r="M100">
        <v>12600</v>
      </c>
      <c r="N100">
        <v>168</v>
      </c>
      <c r="O100">
        <v>32</v>
      </c>
      <c r="P100">
        <v>6000</v>
      </c>
      <c r="Q100" t="s">
        <v>58</v>
      </c>
      <c r="R100" t="s">
        <v>59</v>
      </c>
      <c r="S100">
        <v>59</v>
      </c>
      <c r="T100" t="s">
        <v>60</v>
      </c>
      <c r="U100" t="s">
        <v>37</v>
      </c>
      <c r="V100" t="s">
        <v>61</v>
      </c>
      <c r="W100" t="s">
        <v>39</v>
      </c>
    </row>
    <row r="101" spans="1:23" x14ac:dyDescent="0.25">
      <c r="A101" t="s">
        <v>235</v>
      </c>
      <c r="B101" t="s">
        <v>62</v>
      </c>
      <c r="C101" t="s">
        <v>25</v>
      </c>
      <c r="D101" t="s">
        <v>63</v>
      </c>
      <c r="E101" t="s">
        <v>64</v>
      </c>
      <c r="F101" t="s">
        <v>65</v>
      </c>
      <c r="G101" t="s">
        <v>66</v>
      </c>
      <c r="H101">
        <v>25000</v>
      </c>
      <c r="I101" t="s">
        <v>67</v>
      </c>
      <c r="J101" t="s">
        <v>44</v>
      </c>
      <c r="K101" t="s">
        <v>68</v>
      </c>
      <c r="L101" t="s">
        <v>33</v>
      </c>
      <c r="M101">
        <v>21100</v>
      </c>
      <c r="N101">
        <v>372</v>
      </c>
      <c r="O101">
        <v>128</v>
      </c>
      <c r="P101">
        <v>10000</v>
      </c>
      <c r="Q101" t="s">
        <v>69</v>
      </c>
      <c r="R101" t="s">
        <v>35</v>
      </c>
      <c r="S101">
        <v>58</v>
      </c>
      <c r="T101" t="s">
        <v>121</v>
      </c>
      <c r="U101" t="s">
        <v>37</v>
      </c>
      <c r="V101" t="s">
        <v>143</v>
      </c>
      <c r="W101" t="s">
        <v>39</v>
      </c>
    </row>
    <row r="102" spans="1:23" x14ac:dyDescent="0.25">
      <c r="A102" t="s">
        <v>235</v>
      </c>
      <c r="B102" t="s">
        <v>73</v>
      </c>
      <c r="C102" t="s">
        <v>74</v>
      </c>
      <c r="D102" t="s">
        <v>75</v>
      </c>
      <c r="E102" t="s">
        <v>76</v>
      </c>
      <c r="F102" t="s">
        <v>77</v>
      </c>
      <c r="G102" t="s">
        <v>29</v>
      </c>
      <c r="H102">
        <v>12000</v>
      </c>
      <c r="I102" t="s">
        <v>78</v>
      </c>
      <c r="J102" t="s">
        <v>31</v>
      </c>
      <c r="K102" t="s">
        <v>79</v>
      </c>
      <c r="L102" t="s">
        <v>80</v>
      </c>
      <c r="M102">
        <v>10300</v>
      </c>
      <c r="N102">
        <v>158</v>
      </c>
      <c r="O102">
        <v>42</v>
      </c>
      <c r="P102">
        <v>4800</v>
      </c>
      <c r="Q102" t="s">
        <v>81</v>
      </c>
      <c r="R102" t="s">
        <v>59</v>
      </c>
      <c r="S102">
        <v>58</v>
      </c>
      <c r="T102" t="s">
        <v>106</v>
      </c>
      <c r="U102" t="s">
        <v>37</v>
      </c>
      <c r="V102" t="s">
        <v>143</v>
      </c>
      <c r="W102" t="s">
        <v>39</v>
      </c>
    </row>
    <row r="103" spans="1:23" x14ac:dyDescent="0.25">
      <c r="A103" t="s">
        <v>235</v>
      </c>
      <c r="B103" t="s">
        <v>85</v>
      </c>
      <c r="C103" t="s">
        <v>25</v>
      </c>
      <c r="D103" t="s">
        <v>75</v>
      </c>
      <c r="E103" t="s">
        <v>86</v>
      </c>
      <c r="F103" t="s">
        <v>87</v>
      </c>
      <c r="G103" t="s">
        <v>66</v>
      </c>
      <c r="H103">
        <v>19000</v>
      </c>
      <c r="I103" t="s">
        <v>88</v>
      </c>
      <c r="J103" t="s">
        <v>44</v>
      </c>
      <c r="K103" t="s">
        <v>89</v>
      </c>
      <c r="L103" t="s">
        <v>90</v>
      </c>
      <c r="M103">
        <v>16000</v>
      </c>
      <c r="N103">
        <v>286</v>
      </c>
      <c r="O103">
        <v>114</v>
      </c>
      <c r="P103">
        <v>7600</v>
      </c>
      <c r="Q103" t="s">
        <v>91</v>
      </c>
      <c r="R103" t="s">
        <v>48</v>
      </c>
      <c r="S103">
        <v>57</v>
      </c>
      <c r="T103" t="s">
        <v>49</v>
      </c>
      <c r="U103" t="s">
        <v>37</v>
      </c>
      <c r="V103" t="s">
        <v>143</v>
      </c>
      <c r="W103" t="s">
        <v>39</v>
      </c>
    </row>
    <row r="104" spans="1:23" x14ac:dyDescent="0.25">
      <c r="A104" t="s">
        <v>235</v>
      </c>
      <c r="B104" t="s">
        <v>24</v>
      </c>
      <c r="C104" t="s">
        <v>25</v>
      </c>
      <c r="D104" t="s">
        <v>26</v>
      </c>
      <c r="E104" t="s">
        <v>27</v>
      </c>
      <c r="F104" t="s">
        <v>28</v>
      </c>
      <c r="G104" t="s">
        <v>29</v>
      </c>
      <c r="H104">
        <v>22000</v>
      </c>
      <c r="I104" t="s">
        <v>30</v>
      </c>
      <c r="J104" t="s">
        <v>31</v>
      </c>
      <c r="K104" t="s">
        <v>32</v>
      </c>
      <c r="L104" t="s">
        <v>33</v>
      </c>
      <c r="M104">
        <v>18800</v>
      </c>
      <c r="N104">
        <v>302</v>
      </c>
      <c r="O104">
        <v>98</v>
      </c>
      <c r="P104">
        <v>8800</v>
      </c>
      <c r="Q104" t="s">
        <v>34</v>
      </c>
      <c r="R104" t="s">
        <v>35</v>
      </c>
      <c r="S104">
        <v>58</v>
      </c>
      <c r="T104" t="s">
        <v>101</v>
      </c>
      <c r="U104" t="s">
        <v>37</v>
      </c>
      <c r="V104" t="s">
        <v>143</v>
      </c>
      <c r="W104" t="s">
        <v>236</v>
      </c>
    </row>
    <row r="105" spans="1:23" x14ac:dyDescent="0.25">
      <c r="A105" t="s">
        <v>237</v>
      </c>
      <c r="B105" t="s">
        <v>24</v>
      </c>
      <c r="C105" t="s">
        <v>25</v>
      </c>
      <c r="D105" t="s">
        <v>26</v>
      </c>
      <c r="E105" t="s">
        <v>27</v>
      </c>
      <c r="F105" t="s">
        <v>28</v>
      </c>
      <c r="G105" t="s">
        <v>29</v>
      </c>
      <c r="H105">
        <v>22000</v>
      </c>
      <c r="I105" t="s">
        <v>94</v>
      </c>
      <c r="J105" t="s">
        <v>95</v>
      </c>
      <c r="K105" t="s">
        <v>96</v>
      </c>
      <c r="L105" t="s">
        <v>33</v>
      </c>
      <c r="M105">
        <v>19000</v>
      </c>
      <c r="N105">
        <v>295</v>
      </c>
      <c r="O105">
        <v>105</v>
      </c>
      <c r="P105">
        <v>8800</v>
      </c>
      <c r="Q105" t="s">
        <v>34</v>
      </c>
      <c r="R105" t="s">
        <v>59</v>
      </c>
      <c r="S105">
        <v>59</v>
      </c>
      <c r="T105" t="s">
        <v>49</v>
      </c>
      <c r="U105" t="s">
        <v>37</v>
      </c>
      <c r="V105" t="s">
        <v>98</v>
      </c>
      <c r="W105" t="s">
        <v>39</v>
      </c>
    </row>
    <row r="106" spans="1:23" x14ac:dyDescent="0.25">
      <c r="A106" t="s">
        <v>237</v>
      </c>
      <c r="B106" t="s">
        <v>40</v>
      </c>
      <c r="C106" t="s">
        <v>25</v>
      </c>
      <c r="D106" t="s">
        <v>26</v>
      </c>
      <c r="E106" t="s">
        <v>41</v>
      </c>
      <c r="F106" t="s">
        <v>42</v>
      </c>
      <c r="G106" t="s">
        <v>29</v>
      </c>
      <c r="H106">
        <v>18500</v>
      </c>
      <c r="I106" t="s">
        <v>144</v>
      </c>
      <c r="J106" t="s">
        <v>145</v>
      </c>
      <c r="K106" t="s">
        <v>89</v>
      </c>
      <c r="L106" t="s">
        <v>46</v>
      </c>
      <c r="M106">
        <v>16000</v>
      </c>
      <c r="N106">
        <v>305</v>
      </c>
      <c r="O106">
        <v>95</v>
      </c>
      <c r="P106">
        <v>7400</v>
      </c>
      <c r="Q106" t="s">
        <v>47</v>
      </c>
      <c r="R106" t="s">
        <v>59</v>
      </c>
      <c r="S106">
        <v>59</v>
      </c>
      <c r="T106" t="s">
        <v>131</v>
      </c>
      <c r="U106" t="s">
        <v>37</v>
      </c>
      <c r="V106" t="s">
        <v>98</v>
      </c>
      <c r="W106" t="s">
        <v>39</v>
      </c>
    </row>
    <row r="107" spans="1:23" x14ac:dyDescent="0.25">
      <c r="A107" t="s">
        <v>237</v>
      </c>
      <c r="B107" t="s">
        <v>50</v>
      </c>
      <c r="C107" t="s">
        <v>51</v>
      </c>
      <c r="D107" t="s">
        <v>26</v>
      </c>
      <c r="E107" t="s">
        <v>52</v>
      </c>
      <c r="F107" t="s">
        <v>53</v>
      </c>
      <c r="G107" t="s">
        <v>54</v>
      </c>
      <c r="H107">
        <v>15000</v>
      </c>
      <c r="I107" t="s">
        <v>81</v>
      </c>
      <c r="J107" t="s">
        <v>95</v>
      </c>
      <c r="K107" t="s">
        <v>202</v>
      </c>
      <c r="L107" t="s">
        <v>203</v>
      </c>
      <c r="M107">
        <v>12850</v>
      </c>
      <c r="N107">
        <v>172</v>
      </c>
      <c r="O107">
        <v>28</v>
      </c>
      <c r="P107">
        <v>6000</v>
      </c>
      <c r="Q107" t="s">
        <v>58</v>
      </c>
      <c r="R107" t="s">
        <v>148</v>
      </c>
      <c r="S107">
        <v>60</v>
      </c>
      <c r="T107" t="s">
        <v>82</v>
      </c>
      <c r="U107" t="s">
        <v>37</v>
      </c>
      <c r="V107" t="s">
        <v>98</v>
      </c>
      <c r="W107" t="s">
        <v>39</v>
      </c>
    </row>
    <row r="108" spans="1:23" x14ac:dyDescent="0.25">
      <c r="A108" t="s">
        <v>237</v>
      </c>
      <c r="B108" t="s">
        <v>62</v>
      </c>
      <c r="C108" t="s">
        <v>25</v>
      </c>
      <c r="D108" t="s">
        <v>63</v>
      </c>
      <c r="E108" t="s">
        <v>64</v>
      </c>
      <c r="F108" t="s">
        <v>65</v>
      </c>
      <c r="G108" t="s">
        <v>66</v>
      </c>
      <c r="H108">
        <v>999999</v>
      </c>
      <c r="I108" t="s">
        <v>108</v>
      </c>
      <c r="J108" t="s">
        <v>31</v>
      </c>
      <c r="K108" t="s">
        <v>109</v>
      </c>
      <c r="L108" t="s">
        <v>90</v>
      </c>
      <c r="M108">
        <v>21300</v>
      </c>
      <c r="N108">
        <v>368</v>
      </c>
      <c r="O108">
        <v>132</v>
      </c>
      <c r="P108">
        <v>10000</v>
      </c>
      <c r="Q108" t="s">
        <v>69</v>
      </c>
      <c r="R108" t="s">
        <v>59</v>
      </c>
      <c r="S108">
        <v>58</v>
      </c>
      <c r="T108" t="s">
        <v>101</v>
      </c>
      <c r="U108" t="s">
        <v>37</v>
      </c>
      <c r="V108" t="s">
        <v>98</v>
      </c>
      <c r="W108" t="s">
        <v>238</v>
      </c>
    </row>
    <row r="109" spans="1:23" x14ac:dyDescent="0.25">
      <c r="A109" t="s">
        <v>237</v>
      </c>
      <c r="B109" t="s">
        <v>73</v>
      </c>
      <c r="C109" t="s">
        <v>74</v>
      </c>
      <c r="D109" t="s">
        <v>75</v>
      </c>
      <c r="E109" t="s">
        <v>76</v>
      </c>
      <c r="F109" t="s">
        <v>77</v>
      </c>
      <c r="G109" t="s">
        <v>29</v>
      </c>
      <c r="H109">
        <v>12000</v>
      </c>
      <c r="I109" t="s">
        <v>112</v>
      </c>
      <c r="J109" t="s">
        <v>95</v>
      </c>
      <c r="K109" t="s">
        <v>113</v>
      </c>
      <c r="L109" t="s">
        <v>114</v>
      </c>
      <c r="M109">
        <v>10400</v>
      </c>
      <c r="N109">
        <v>155</v>
      </c>
      <c r="O109">
        <v>45</v>
      </c>
      <c r="P109">
        <v>4800</v>
      </c>
      <c r="Q109" t="s">
        <v>81</v>
      </c>
      <c r="R109" t="s">
        <v>59</v>
      </c>
      <c r="S109">
        <v>58</v>
      </c>
      <c r="T109" t="s">
        <v>155</v>
      </c>
      <c r="U109" t="s">
        <v>37</v>
      </c>
      <c r="V109" t="s">
        <v>98</v>
      </c>
      <c r="W109" t="s">
        <v>39</v>
      </c>
    </row>
    <row r="110" spans="1:23" x14ac:dyDescent="0.25">
      <c r="A110" t="s">
        <v>237</v>
      </c>
      <c r="B110" t="s">
        <v>85</v>
      </c>
      <c r="C110" t="s">
        <v>25</v>
      </c>
      <c r="D110" t="s">
        <v>75</v>
      </c>
      <c r="E110" t="s">
        <v>86</v>
      </c>
      <c r="F110" t="s">
        <v>87</v>
      </c>
      <c r="G110" t="s">
        <v>66</v>
      </c>
      <c r="H110">
        <v>19000</v>
      </c>
      <c r="I110" t="s">
        <v>193</v>
      </c>
      <c r="J110" t="s">
        <v>31</v>
      </c>
      <c r="K110" t="s">
        <v>194</v>
      </c>
      <c r="L110" t="s">
        <v>33</v>
      </c>
      <c r="M110">
        <v>16200</v>
      </c>
      <c r="N110">
        <v>282</v>
      </c>
      <c r="O110">
        <v>118</v>
      </c>
      <c r="P110">
        <v>7600</v>
      </c>
      <c r="Q110" t="s">
        <v>91</v>
      </c>
      <c r="R110" t="s">
        <v>35</v>
      </c>
      <c r="S110">
        <v>58</v>
      </c>
      <c r="T110" t="s">
        <v>131</v>
      </c>
      <c r="U110" t="s">
        <v>37</v>
      </c>
      <c r="V110" t="s">
        <v>98</v>
      </c>
      <c r="W110" t="s">
        <v>39</v>
      </c>
    </row>
    <row r="111" spans="1:23" x14ac:dyDescent="0.25">
      <c r="A111" t="s">
        <v>239</v>
      </c>
      <c r="B111" t="s">
        <v>24</v>
      </c>
      <c r="C111" t="s">
        <v>25</v>
      </c>
      <c r="D111" t="s">
        <v>26</v>
      </c>
      <c r="E111" t="s">
        <v>27</v>
      </c>
      <c r="F111" t="s">
        <v>28</v>
      </c>
      <c r="G111" t="s">
        <v>29</v>
      </c>
      <c r="H111">
        <v>22000</v>
      </c>
      <c r="I111" t="s">
        <v>119</v>
      </c>
      <c r="J111" t="s">
        <v>44</v>
      </c>
      <c r="K111" t="s">
        <v>120</v>
      </c>
      <c r="L111" t="s">
        <v>46</v>
      </c>
      <c r="M111">
        <v>18500</v>
      </c>
      <c r="N111">
        <v>310</v>
      </c>
      <c r="O111">
        <v>90</v>
      </c>
      <c r="P111">
        <v>8800</v>
      </c>
      <c r="Q111" t="s">
        <v>34</v>
      </c>
      <c r="R111" t="s">
        <v>48</v>
      </c>
      <c r="S111">
        <v>57</v>
      </c>
      <c r="T111" t="s">
        <v>110</v>
      </c>
      <c r="U111" t="s">
        <v>37</v>
      </c>
      <c r="V111" t="s">
        <v>98</v>
      </c>
      <c r="W111" t="s">
        <v>39</v>
      </c>
    </row>
    <row r="112" spans="1:23" x14ac:dyDescent="0.25">
      <c r="A112" t="s">
        <v>239</v>
      </c>
      <c r="B112" t="s">
        <v>40</v>
      </c>
      <c r="C112" t="s">
        <v>25</v>
      </c>
      <c r="D112" t="s">
        <v>26</v>
      </c>
      <c r="E112" t="s">
        <v>41</v>
      </c>
      <c r="F112" t="s">
        <v>42</v>
      </c>
      <c r="G112" t="s">
        <v>29</v>
      </c>
      <c r="H112">
        <v>18500</v>
      </c>
      <c r="I112" t="s">
        <v>122</v>
      </c>
      <c r="J112" t="s">
        <v>123</v>
      </c>
      <c r="K112" t="s">
        <v>124</v>
      </c>
      <c r="L112" t="s">
        <v>125</v>
      </c>
      <c r="M112">
        <v>15200</v>
      </c>
      <c r="N112">
        <v>308</v>
      </c>
      <c r="O112">
        <v>92</v>
      </c>
      <c r="P112">
        <v>7400</v>
      </c>
      <c r="Q112" t="s">
        <v>47</v>
      </c>
      <c r="R112" t="s">
        <v>100</v>
      </c>
      <c r="S112">
        <v>56</v>
      </c>
      <c r="T112" t="s">
        <v>134</v>
      </c>
      <c r="U112" t="s">
        <v>37</v>
      </c>
      <c r="V112" t="s">
        <v>98</v>
      </c>
      <c r="W112" t="s">
        <v>39</v>
      </c>
    </row>
    <row r="113" spans="1:23" x14ac:dyDescent="0.25">
      <c r="A113" t="s">
        <v>239</v>
      </c>
      <c r="B113" t="s">
        <v>50</v>
      </c>
      <c r="C113" t="s">
        <v>51</v>
      </c>
      <c r="D113" t="s">
        <v>26</v>
      </c>
      <c r="E113" t="s">
        <v>52</v>
      </c>
      <c r="F113" t="s">
        <v>53</v>
      </c>
      <c r="G113" t="s">
        <v>54</v>
      </c>
      <c r="H113">
        <v>15000</v>
      </c>
      <c r="I113" t="s">
        <v>128</v>
      </c>
      <c r="J113" t="s">
        <v>123</v>
      </c>
      <c r="K113" t="s">
        <v>229</v>
      </c>
      <c r="L113" t="s">
        <v>171</v>
      </c>
      <c r="M113">
        <v>12350</v>
      </c>
      <c r="N113">
        <v>182</v>
      </c>
      <c r="O113">
        <v>18</v>
      </c>
      <c r="P113">
        <v>6000</v>
      </c>
      <c r="Q113" t="s">
        <v>58</v>
      </c>
      <c r="R113" t="s">
        <v>48</v>
      </c>
      <c r="S113">
        <v>57</v>
      </c>
      <c r="T113" t="s">
        <v>97</v>
      </c>
      <c r="U113" t="s">
        <v>37</v>
      </c>
      <c r="V113" t="s">
        <v>98</v>
      </c>
      <c r="W113" t="s">
        <v>39</v>
      </c>
    </row>
    <row r="114" spans="1:23" x14ac:dyDescent="0.25">
      <c r="A114" t="s">
        <v>239</v>
      </c>
      <c r="B114" t="s">
        <v>62</v>
      </c>
      <c r="C114" t="s">
        <v>25</v>
      </c>
      <c r="D114" t="s">
        <v>63</v>
      </c>
      <c r="E114" t="s">
        <v>64</v>
      </c>
      <c r="F114" t="s">
        <v>65</v>
      </c>
      <c r="G114" t="s">
        <v>66</v>
      </c>
      <c r="H114">
        <v>25000</v>
      </c>
      <c r="I114" t="s">
        <v>172</v>
      </c>
      <c r="J114" t="s">
        <v>123</v>
      </c>
      <c r="K114" t="s">
        <v>173</v>
      </c>
      <c r="L114" t="s">
        <v>174</v>
      </c>
      <c r="M114">
        <v>20700</v>
      </c>
      <c r="N114">
        <v>385</v>
      </c>
      <c r="O114">
        <v>115</v>
      </c>
      <c r="P114">
        <v>10000</v>
      </c>
      <c r="Q114" t="s">
        <v>69</v>
      </c>
      <c r="R114" t="s">
        <v>100</v>
      </c>
      <c r="S114">
        <v>56</v>
      </c>
      <c r="T114" t="s">
        <v>207</v>
      </c>
      <c r="U114" t="s">
        <v>37</v>
      </c>
      <c r="V114" t="s">
        <v>98</v>
      </c>
      <c r="W114" t="s">
        <v>39</v>
      </c>
    </row>
    <row r="115" spans="1:23" x14ac:dyDescent="0.25">
      <c r="A115" t="s">
        <v>239</v>
      </c>
      <c r="B115" t="s">
        <v>73</v>
      </c>
      <c r="C115" t="s">
        <v>74</v>
      </c>
      <c r="D115" t="s">
        <v>75</v>
      </c>
      <c r="E115" t="s">
        <v>76</v>
      </c>
      <c r="F115" t="s">
        <v>77</v>
      </c>
      <c r="G115" t="s">
        <v>29</v>
      </c>
      <c r="H115">
        <v>12000</v>
      </c>
      <c r="I115" t="s">
        <v>176</v>
      </c>
      <c r="J115" t="s">
        <v>123</v>
      </c>
      <c r="K115" t="s">
        <v>177</v>
      </c>
      <c r="L115" t="s">
        <v>46</v>
      </c>
      <c r="M115">
        <v>10000</v>
      </c>
      <c r="N115">
        <v>165</v>
      </c>
      <c r="O115">
        <v>35</v>
      </c>
      <c r="P115">
        <v>4800</v>
      </c>
      <c r="Q115" t="s">
        <v>81</v>
      </c>
      <c r="R115" t="s">
        <v>48</v>
      </c>
      <c r="S115">
        <v>56</v>
      </c>
      <c r="T115" t="s">
        <v>131</v>
      </c>
      <c r="U115" t="s">
        <v>37</v>
      </c>
      <c r="V115" t="s">
        <v>98</v>
      </c>
      <c r="W115" t="s">
        <v>39</v>
      </c>
    </row>
    <row r="116" spans="1:23" x14ac:dyDescent="0.25">
      <c r="A116" t="s">
        <v>239</v>
      </c>
      <c r="B116" t="s">
        <v>85</v>
      </c>
      <c r="C116" t="s">
        <v>25</v>
      </c>
      <c r="D116" t="s">
        <v>75</v>
      </c>
      <c r="E116" t="s">
        <v>86</v>
      </c>
      <c r="F116" t="s">
        <v>87</v>
      </c>
      <c r="G116" t="s">
        <v>66</v>
      </c>
      <c r="H116">
        <v>19000</v>
      </c>
      <c r="I116" t="s">
        <v>178</v>
      </c>
      <c r="J116" t="s">
        <v>147</v>
      </c>
      <c r="K116" t="s">
        <v>99</v>
      </c>
      <c r="L116" t="s">
        <v>46</v>
      </c>
      <c r="M116">
        <v>15400</v>
      </c>
      <c r="N116">
        <v>298</v>
      </c>
      <c r="O116">
        <v>102</v>
      </c>
      <c r="P116">
        <v>7600</v>
      </c>
      <c r="Q116" t="s">
        <v>91</v>
      </c>
      <c r="R116" t="s">
        <v>166</v>
      </c>
      <c r="S116">
        <v>55</v>
      </c>
      <c r="T116" t="s">
        <v>110</v>
      </c>
      <c r="U116" t="s">
        <v>37</v>
      </c>
      <c r="V116" t="s">
        <v>98</v>
      </c>
      <c r="W116" t="s">
        <v>39</v>
      </c>
    </row>
    <row r="117" spans="1:23" x14ac:dyDescent="0.25">
      <c r="A117" t="s">
        <v>240</v>
      </c>
      <c r="B117" t="s">
        <v>24</v>
      </c>
      <c r="C117" t="s">
        <v>25</v>
      </c>
      <c r="D117" t="s">
        <v>241</v>
      </c>
      <c r="E117" t="s">
        <v>27</v>
      </c>
      <c r="F117" t="s">
        <v>28</v>
      </c>
      <c r="G117" t="s">
        <v>29</v>
      </c>
      <c r="H117">
        <v>22000</v>
      </c>
      <c r="I117" t="s">
        <v>94</v>
      </c>
      <c r="J117" t="s">
        <v>95</v>
      </c>
      <c r="K117" t="s">
        <v>141</v>
      </c>
      <c r="L117" t="s">
        <v>142</v>
      </c>
      <c r="M117">
        <v>19100</v>
      </c>
      <c r="N117">
        <v>288</v>
      </c>
      <c r="O117">
        <v>112</v>
      </c>
      <c r="P117">
        <v>8800</v>
      </c>
      <c r="Q117" t="s">
        <v>34</v>
      </c>
      <c r="R117" t="s">
        <v>59</v>
      </c>
      <c r="S117">
        <v>59</v>
      </c>
      <c r="T117" t="s">
        <v>131</v>
      </c>
      <c r="U117" t="s">
        <v>37</v>
      </c>
      <c r="V117" t="s">
        <v>143</v>
      </c>
      <c r="W117" t="s">
        <v>242</v>
      </c>
    </row>
    <row r="118" spans="1:23" x14ac:dyDescent="0.25">
      <c r="A118" t="s">
        <v>240</v>
      </c>
      <c r="B118" t="s">
        <v>40</v>
      </c>
      <c r="C118" t="s">
        <v>25</v>
      </c>
      <c r="D118" t="s">
        <v>26</v>
      </c>
      <c r="E118" t="s">
        <v>41</v>
      </c>
      <c r="F118" t="s">
        <v>42</v>
      </c>
      <c r="G118" t="s">
        <v>29</v>
      </c>
      <c r="H118">
        <v>18500</v>
      </c>
      <c r="I118" t="s">
        <v>144</v>
      </c>
      <c r="J118" t="s">
        <v>145</v>
      </c>
      <c r="K118" t="s">
        <v>227</v>
      </c>
      <c r="L118" t="s">
        <v>33</v>
      </c>
      <c r="M118">
        <v>16100</v>
      </c>
      <c r="N118">
        <v>298</v>
      </c>
      <c r="O118">
        <v>102</v>
      </c>
      <c r="P118">
        <v>7400</v>
      </c>
      <c r="Q118" t="s">
        <v>47</v>
      </c>
      <c r="R118" t="s">
        <v>59</v>
      </c>
      <c r="S118">
        <v>59</v>
      </c>
      <c r="T118" t="s">
        <v>60</v>
      </c>
      <c r="U118" t="s">
        <v>37</v>
      </c>
      <c r="V118" t="s">
        <v>143</v>
      </c>
      <c r="W118" t="s">
        <v>39</v>
      </c>
    </row>
    <row r="119" spans="1:23" x14ac:dyDescent="0.25">
      <c r="A119" t="s">
        <v>240</v>
      </c>
      <c r="B119" t="s">
        <v>50</v>
      </c>
      <c r="C119" t="s">
        <v>51</v>
      </c>
      <c r="D119" t="s">
        <v>26</v>
      </c>
      <c r="E119" t="s">
        <v>52</v>
      </c>
      <c r="F119" t="s">
        <v>53</v>
      </c>
      <c r="G119" t="s">
        <v>54</v>
      </c>
      <c r="H119">
        <v>15000</v>
      </c>
      <c r="I119" t="s">
        <v>81</v>
      </c>
      <c r="J119" t="s">
        <v>95</v>
      </c>
      <c r="K119" t="s">
        <v>146</v>
      </c>
      <c r="L119" t="s">
        <v>147</v>
      </c>
      <c r="M119">
        <v>12900</v>
      </c>
      <c r="N119">
        <v>165</v>
      </c>
      <c r="O119">
        <v>35</v>
      </c>
      <c r="P119">
        <v>6000</v>
      </c>
      <c r="Q119" t="s">
        <v>58</v>
      </c>
      <c r="R119" t="s">
        <v>148</v>
      </c>
      <c r="S119">
        <v>60</v>
      </c>
      <c r="T119" t="s">
        <v>106</v>
      </c>
      <c r="U119" t="s">
        <v>37</v>
      </c>
      <c r="V119" t="s">
        <v>61</v>
      </c>
      <c r="W119" t="s">
        <v>39</v>
      </c>
    </row>
    <row r="120" spans="1:23" x14ac:dyDescent="0.25">
      <c r="A120" t="s">
        <v>240</v>
      </c>
      <c r="B120" t="s">
        <v>62</v>
      </c>
      <c r="C120" t="s">
        <v>25</v>
      </c>
      <c r="D120" t="s">
        <v>63</v>
      </c>
      <c r="E120" t="s">
        <v>64</v>
      </c>
      <c r="F120" t="s">
        <v>65</v>
      </c>
      <c r="G120" t="s">
        <v>66</v>
      </c>
      <c r="H120">
        <v>25000</v>
      </c>
      <c r="I120" t="s">
        <v>150</v>
      </c>
      <c r="J120" t="s">
        <v>95</v>
      </c>
      <c r="K120" t="s">
        <v>151</v>
      </c>
      <c r="L120" t="s">
        <v>80</v>
      </c>
      <c r="M120">
        <v>21600</v>
      </c>
      <c r="N120">
        <v>355</v>
      </c>
      <c r="O120">
        <v>145</v>
      </c>
      <c r="P120">
        <v>10000</v>
      </c>
      <c r="Q120" t="s">
        <v>69</v>
      </c>
      <c r="R120" t="s">
        <v>59</v>
      </c>
      <c r="S120">
        <v>58</v>
      </c>
      <c r="T120" t="s">
        <v>92</v>
      </c>
      <c r="U120" t="s">
        <v>37</v>
      </c>
      <c r="V120" t="s">
        <v>143</v>
      </c>
      <c r="W120" t="s">
        <v>39</v>
      </c>
    </row>
    <row r="121" spans="1:23" x14ac:dyDescent="0.25">
      <c r="A121" t="s">
        <v>240</v>
      </c>
      <c r="B121" t="s">
        <v>73</v>
      </c>
      <c r="C121" t="s">
        <v>74</v>
      </c>
      <c r="D121" t="s">
        <v>75</v>
      </c>
      <c r="E121" t="s">
        <v>76</v>
      </c>
      <c r="F121" t="s">
        <v>77</v>
      </c>
      <c r="G121" t="s">
        <v>29</v>
      </c>
      <c r="H121">
        <v>12000</v>
      </c>
      <c r="I121" t="s">
        <v>153</v>
      </c>
      <c r="J121" t="s">
        <v>145</v>
      </c>
      <c r="K121" t="s">
        <v>154</v>
      </c>
      <c r="L121" t="s">
        <v>33</v>
      </c>
      <c r="M121">
        <v>10500</v>
      </c>
      <c r="N121">
        <v>150</v>
      </c>
      <c r="O121">
        <v>50</v>
      </c>
      <c r="P121">
        <v>4800</v>
      </c>
      <c r="Q121" t="s">
        <v>81</v>
      </c>
      <c r="R121" t="s">
        <v>59</v>
      </c>
      <c r="S121">
        <v>58</v>
      </c>
      <c r="T121" t="s">
        <v>155</v>
      </c>
      <c r="U121" t="s">
        <v>37</v>
      </c>
      <c r="V121" t="s">
        <v>156</v>
      </c>
      <c r="W121" t="s">
        <v>39</v>
      </c>
    </row>
    <row r="122" spans="1:23" x14ac:dyDescent="0.25">
      <c r="A122" t="s">
        <v>240</v>
      </c>
      <c r="B122" t="s">
        <v>85</v>
      </c>
      <c r="C122" t="s">
        <v>25</v>
      </c>
      <c r="D122" t="s">
        <v>75</v>
      </c>
      <c r="E122" t="s">
        <v>86</v>
      </c>
      <c r="F122" t="s">
        <v>87</v>
      </c>
      <c r="G122" t="s">
        <v>66</v>
      </c>
      <c r="H122">
        <v>19000</v>
      </c>
      <c r="I122" t="s">
        <v>157</v>
      </c>
      <c r="J122" t="s">
        <v>145</v>
      </c>
      <c r="K122" t="s">
        <v>158</v>
      </c>
      <c r="L122" t="s">
        <v>159</v>
      </c>
      <c r="M122">
        <v>16500</v>
      </c>
      <c r="N122">
        <v>280</v>
      </c>
      <c r="O122">
        <v>120</v>
      </c>
      <c r="P122">
        <v>7600</v>
      </c>
      <c r="Q122" t="s">
        <v>91</v>
      </c>
      <c r="R122" t="s">
        <v>35</v>
      </c>
      <c r="S122">
        <v>58</v>
      </c>
      <c r="T122" t="s">
        <v>60</v>
      </c>
      <c r="U122" t="s">
        <v>37</v>
      </c>
      <c r="V122" t="s">
        <v>143</v>
      </c>
      <c r="W122" t="s">
        <v>39</v>
      </c>
    </row>
    <row r="123" spans="1:23" x14ac:dyDescent="0.25">
      <c r="A123" t="s">
        <v>243</v>
      </c>
      <c r="B123" t="s">
        <v>24</v>
      </c>
      <c r="C123" t="s">
        <v>25</v>
      </c>
      <c r="D123" t="s">
        <v>26</v>
      </c>
      <c r="E123" t="s">
        <v>27</v>
      </c>
      <c r="F123" t="s">
        <v>28</v>
      </c>
      <c r="G123" t="s">
        <v>29</v>
      </c>
      <c r="H123">
        <v>22000</v>
      </c>
      <c r="I123" t="s">
        <v>30</v>
      </c>
      <c r="J123" t="s">
        <v>31</v>
      </c>
      <c r="K123" t="s">
        <v>32</v>
      </c>
      <c r="L123" t="s">
        <v>33</v>
      </c>
      <c r="M123">
        <v>18800</v>
      </c>
      <c r="N123">
        <v>305</v>
      </c>
      <c r="O123">
        <v>95</v>
      </c>
      <c r="P123">
        <v>8800</v>
      </c>
      <c r="Q123" t="s">
        <v>34</v>
      </c>
      <c r="R123" t="s">
        <v>35</v>
      </c>
      <c r="S123">
        <v>58</v>
      </c>
      <c r="T123" t="s">
        <v>92</v>
      </c>
      <c r="U123" t="s">
        <v>37</v>
      </c>
      <c r="V123" t="s">
        <v>98</v>
      </c>
      <c r="W123" t="s">
        <v>39</v>
      </c>
    </row>
    <row r="124" spans="1:23" x14ac:dyDescent="0.25">
      <c r="A124" t="s">
        <v>243</v>
      </c>
      <c r="B124" t="s">
        <v>40</v>
      </c>
      <c r="C124" t="s">
        <v>25</v>
      </c>
      <c r="D124" t="s">
        <v>26</v>
      </c>
      <c r="E124" t="s">
        <v>41</v>
      </c>
      <c r="F124" t="s">
        <v>42</v>
      </c>
      <c r="G124" t="s">
        <v>29</v>
      </c>
      <c r="H124">
        <v>18500</v>
      </c>
      <c r="I124" t="s">
        <v>43</v>
      </c>
      <c r="J124" t="s">
        <v>44</v>
      </c>
      <c r="K124" t="s">
        <v>45</v>
      </c>
      <c r="L124" t="s">
        <v>46</v>
      </c>
      <c r="M124">
        <v>15500</v>
      </c>
      <c r="N124">
        <v>295</v>
      </c>
      <c r="O124">
        <v>105</v>
      </c>
      <c r="P124">
        <v>7400</v>
      </c>
      <c r="Q124" t="s">
        <v>47</v>
      </c>
      <c r="R124" t="s">
        <v>35</v>
      </c>
      <c r="S124">
        <v>58</v>
      </c>
      <c r="T124" t="s">
        <v>97</v>
      </c>
      <c r="U124" t="s">
        <v>37</v>
      </c>
      <c r="V124" t="s">
        <v>98</v>
      </c>
      <c r="W124" t="s">
        <v>39</v>
      </c>
    </row>
    <row r="125" spans="1:23" x14ac:dyDescent="0.25">
      <c r="A125" t="s">
        <v>243</v>
      </c>
      <c r="B125" t="s">
        <v>50</v>
      </c>
      <c r="C125" t="s">
        <v>51</v>
      </c>
      <c r="D125" t="s">
        <v>26</v>
      </c>
      <c r="E125" t="s">
        <v>52</v>
      </c>
      <c r="F125" t="s">
        <v>53</v>
      </c>
      <c r="G125" t="s">
        <v>54</v>
      </c>
      <c r="H125">
        <v>15000</v>
      </c>
      <c r="I125" t="s">
        <v>55</v>
      </c>
      <c r="J125" t="s">
        <v>44</v>
      </c>
      <c r="K125" t="s">
        <v>56</v>
      </c>
      <c r="L125" t="s">
        <v>57</v>
      </c>
      <c r="M125">
        <v>12600</v>
      </c>
      <c r="N125">
        <v>170</v>
      </c>
      <c r="O125">
        <v>30</v>
      </c>
      <c r="P125">
        <v>6000</v>
      </c>
      <c r="Q125" t="s">
        <v>58</v>
      </c>
      <c r="R125" t="s">
        <v>59</v>
      </c>
      <c r="S125">
        <v>59</v>
      </c>
      <c r="T125" t="s">
        <v>60</v>
      </c>
      <c r="U125" t="s">
        <v>37</v>
      </c>
      <c r="V125" t="s">
        <v>98</v>
      </c>
      <c r="W125" t="s">
        <v>39</v>
      </c>
    </row>
    <row r="126" spans="1:23" x14ac:dyDescent="0.25">
      <c r="A126" t="s">
        <v>243</v>
      </c>
      <c r="B126" t="s">
        <v>62</v>
      </c>
      <c r="C126" t="s">
        <v>25</v>
      </c>
      <c r="D126" t="s">
        <v>63</v>
      </c>
      <c r="E126" t="s">
        <v>64</v>
      </c>
      <c r="F126" t="s">
        <v>65</v>
      </c>
      <c r="G126" t="s">
        <v>66</v>
      </c>
      <c r="H126">
        <v>25000</v>
      </c>
      <c r="I126" t="s">
        <v>67</v>
      </c>
      <c r="J126" t="s">
        <v>44</v>
      </c>
      <c r="K126" t="s">
        <v>68</v>
      </c>
      <c r="L126" t="s">
        <v>33</v>
      </c>
      <c r="M126">
        <v>21100</v>
      </c>
      <c r="N126">
        <v>375</v>
      </c>
      <c r="O126">
        <v>125</v>
      </c>
      <c r="P126">
        <v>10000</v>
      </c>
      <c r="Q126" t="s">
        <v>69</v>
      </c>
      <c r="R126" t="s">
        <v>35</v>
      </c>
      <c r="S126">
        <v>58</v>
      </c>
      <c r="T126" t="s">
        <v>110</v>
      </c>
      <c r="U126" t="s">
        <v>37</v>
      </c>
      <c r="V126" t="s">
        <v>98</v>
      </c>
      <c r="W126" t="s">
        <v>39</v>
      </c>
    </row>
    <row r="127" spans="1:23" x14ac:dyDescent="0.25">
      <c r="A127" t="s">
        <v>243</v>
      </c>
      <c r="B127" t="s">
        <v>73</v>
      </c>
      <c r="C127" t="s">
        <v>74</v>
      </c>
      <c r="D127" t="s">
        <v>75</v>
      </c>
      <c r="E127" t="s">
        <v>76</v>
      </c>
      <c r="F127" t="s">
        <v>77</v>
      </c>
      <c r="G127" t="s">
        <v>29</v>
      </c>
      <c r="H127">
        <v>12000</v>
      </c>
      <c r="I127" t="s">
        <v>78</v>
      </c>
      <c r="J127" t="s">
        <v>31</v>
      </c>
      <c r="K127" t="s">
        <v>79</v>
      </c>
      <c r="L127" t="s">
        <v>80</v>
      </c>
      <c r="M127">
        <v>10300</v>
      </c>
      <c r="N127">
        <v>158</v>
      </c>
      <c r="O127">
        <v>42</v>
      </c>
      <c r="P127">
        <v>4800</v>
      </c>
      <c r="Q127" t="s">
        <v>81</v>
      </c>
      <c r="R127" t="s">
        <v>59</v>
      </c>
      <c r="S127">
        <v>58</v>
      </c>
      <c r="T127" t="s">
        <v>106</v>
      </c>
      <c r="U127" t="s">
        <v>37</v>
      </c>
      <c r="V127" t="s">
        <v>98</v>
      </c>
      <c r="W127" t="s">
        <v>39</v>
      </c>
    </row>
    <row r="128" spans="1:23" x14ac:dyDescent="0.25">
      <c r="A128" t="s">
        <v>243</v>
      </c>
      <c r="B128" t="s">
        <v>85</v>
      </c>
      <c r="C128" t="s">
        <v>25</v>
      </c>
      <c r="D128" t="s">
        <v>75</v>
      </c>
      <c r="E128" t="s">
        <v>86</v>
      </c>
      <c r="F128" t="s">
        <v>87</v>
      </c>
      <c r="G128" t="s">
        <v>66</v>
      </c>
      <c r="H128">
        <v>19000</v>
      </c>
      <c r="I128" t="s">
        <v>88</v>
      </c>
      <c r="J128" t="s">
        <v>44</v>
      </c>
      <c r="K128" t="s">
        <v>89</v>
      </c>
      <c r="L128" t="s">
        <v>90</v>
      </c>
      <c r="M128">
        <v>16000</v>
      </c>
      <c r="N128">
        <v>286</v>
      </c>
      <c r="O128">
        <v>114</v>
      </c>
      <c r="P128">
        <v>7600</v>
      </c>
      <c r="Q128" t="s">
        <v>91</v>
      </c>
      <c r="R128" t="s">
        <v>48</v>
      </c>
      <c r="S128">
        <v>57</v>
      </c>
      <c r="T128" t="s">
        <v>49</v>
      </c>
      <c r="U128" t="s">
        <v>37</v>
      </c>
      <c r="V128" t="s">
        <v>98</v>
      </c>
      <c r="W128" t="s">
        <v>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4FDD-23D1-42D9-A439-7D22781DBFE2}">
  <dimension ref="B2:F36"/>
  <sheetViews>
    <sheetView topLeftCell="A18" zoomScaleNormal="100" workbookViewId="0">
      <selection activeCell="E41" sqref="E41"/>
    </sheetView>
  </sheetViews>
  <sheetFormatPr defaultColWidth="8.7109375" defaultRowHeight="15" x14ac:dyDescent="0.25"/>
  <cols>
    <col min="2" max="2" width="4" customWidth="1"/>
    <col min="3" max="3" width="22" customWidth="1"/>
    <col min="4" max="5" width="45" customWidth="1"/>
    <col min="6" max="6" width="18" customWidth="1"/>
  </cols>
  <sheetData>
    <row r="2" spans="2:6" ht="18.75" x14ac:dyDescent="0.25">
      <c r="B2" s="78" t="s">
        <v>297</v>
      </c>
      <c r="C2" s="79"/>
      <c r="D2" s="79"/>
      <c r="E2" s="79"/>
      <c r="F2" s="80"/>
    </row>
    <row r="3" spans="2:6" x14ac:dyDescent="0.25">
      <c r="B3" s="24"/>
      <c r="F3" s="25"/>
    </row>
    <row r="4" spans="2:6" ht="13.5" customHeight="1" x14ac:dyDescent="0.25">
      <c r="B4" s="72" t="s">
        <v>298</v>
      </c>
      <c r="C4" s="73"/>
      <c r="D4" s="73"/>
      <c r="E4" s="73"/>
      <c r="F4" s="74"/>
    </row>
    <row r="5" spans="2:6" ht="30" customHeight="1" x14ac:dyDescent="0.25">
      <c r="B5" s="75" t="s">
        <v>342</v>
      </c>
      <c r="C5" s="76"/>
      <c r="D5" s="76"/>
      <c r="E5" s="77"/>
      <c r="F5" s="29" t="s">
        <v>299</v>
      </c>
    </row>
    <row r="6" spans="2:6" ht="30" customHeight="1" x14ac:dyDescent="0.25">
      <c r="B6" s="66" t="s">
        <v>300</v>
      </c>
      <c r="C6" s="67"/>
      <c r="D6" s="67"/>
      <c r="E6" s="67"/>
      <c r="F6" s="68"/>
    </row>
    <row r="7" spans="2:6" x14ac:dyDescent="0.25">
      <c r="B7" s="24"/>
      <c r="F7" s="25"/>
    </row>
    <row r="8" spans="2:6" ht="13.5" customHeight="1" x14ac:dyDescent="0.25">
      <c r="B8" s="72" t="s">
        <v>301</v>
      </c>
      <c r="C8" s="73"/>
      <c r="D8" s="73"/>
      <c r="E8" s="73"/>
      <c r="F8" s="74"/>
    </row>
    <row r="9" spans="2:6" ht="30" customHeight="1" x14ac:dyDescent="0.25">
      <c r="B9" s="75" t="s">
        <v>302</v>
      </c>
      <c r="C9" s="76"/>
      <c r="D9" s="76"/>
      <c r="E9" s="77"/>
      <c r="F9" s="29" t="s">
        <v>299</v>
      </c>
    </row>
    <row r="10" spans="2:6" ht="30" customHeight="1" x14ac:dyDescent="0.25">
      <c r="B10" s="66" t="s">
        <v>343</v>
      </c>
      <c r="C10" s="67"/>
      <c r="D10" s="67"/>
      <c r="E10" s="67"/>
      <c r="F10" s="68"/>
    </row>
    <row r="11" spans="2:6" x14ac:dyDescent="0.25">
      <c r="B11" s="24"/>
      <c r="F11" s="25"/>
    </row>
    <row r="12" spans="2:6" ht="13.5" customHeight="1" x14ac:dyDescent="0.25">
      <c r="B12" s="72" t="s">
        <v>303</v>
      </c>
      <c r="C12" s="73"/>
      <c r="D12" s="73"/>
      <c r="E12" s="73"/>
      <c r="F12" s="74"/>
    </row>
    <row r="13" spans="2:6" ht="30" customHeight="1" x14ac:dyDescent="0.25">
      <c r="B13" s="75" t="s">
        <v>304</v>
      </c>
      <c r="C13" s="76"/>
      <c r="D13" s="76"/>
      <c r="E13" s="77"/>
      <c r="F13" s="29" t="s">
        <v>299</v>
      </c>
    </row>
    <row r="14" spans="2:6" ht="30" customHeight="1" x14ac:dyDescent="0.25">
      <c r="B14" s="66" t="s">
        <v>305</v>
      </c>
      <c r="C14" s="67"/>
      <c r="D14" s="67"/>
      <c r="E14" s="67"/>
      <c r="F14" s="68"/>
    </row>
    <row r="15" spans="2:6" x14ac:dyDescent="0.25">
      <c r="B15" s="24"/>
      <c r="F15" s="25"/>
    </row>
    <row r="16" spans="2:6" ht="13.5" customHeight="1" x14ac:dyDescent="0.25">
      <c r="B16" s="72" t="s">
        <v>306</v>
      </c>
      <c r="C16" s="73"/>
      <c r="D16" s="73"/>
      <c r="E16" s="73"/>
      <c r="F16" s="74"/>
    </row>
    <row r="17" spans="2:6" ht="30" customHeight="1" x14ac:dyDescent="0.25">
      <c r="B17" s="75" t="s">
        <v>307</v>
      </c>
      <c r="C17" s="76"/>
      <c r="D17" s="76"/>
      <c r="E17" s="77"/>
      <c r="F17" s="30" t="s">
        <v>308</v>
      </c>
    </row>
    <row r="18" spans="2:6" ht="30" customHeight="1" x14ac:dyDescent="0.25">
      <c r="B18" s="66" t="s">
        <v>309</v>
      </c>
      <c r="C18" s="67"/>
      <c r="D18" s="67"/>
      <c r="E18" s="67"/>
      <c r="F18" s="68"/>
    </row>
    <row r="19" spans="2:6" x14ac:dyDescent="0.25">
      <c r="B19" s="24"/>
      <c r="F19" s="25"/>
    </row>
    <row r="20" spans="2:6" ht="13.5" customHeight="1" x14ac:dyDescent="0.25">
      <c r="B20" s="72" t="s">
        <v>310</v>
      </c>
      <c r="C20" s="73"/>
      <c r="D20" s="73"/>
      <c r="E20" s="73"/>
      <c r="F20" s="74"/>
    </row>
    <row r="21" spans="2:6" ht="30" customHeight="1" x14ac:dyDescent="0.25">
      <c r="B21" s="75" t="s">
        <v>311</v>
      </c>
      <c r="C21" s="76"/>
      <c r="D21" s="76"/>
      <c r="E21" s="77"/>
      <c r="F21" s="29" t="s">
        <v>312</v>
      </c>
    </row>
    <row r="22" spans="2:6" ht="30" customHeight="1" x14ac:dyDescent="0.25">
      <c r="B22" s="66" t="s">
        <v>313</v>
      </c>
      <c r="C22" s="67"/>
      <c r="D22" s="67"/>
      <c r="E22" s="67"/>
      <c r="F22" s="68"/>
    </row>
    <row r="23" spans="2:6" x14ac:dyDescent="0.25">
      <c r="B23" s="24"/>
      <c r="F23" s="25"/>
    </row>
    <row r="24" spans="2:6" ht="13.5" customHeight="1" x14ac:dyDescent="0.25">
      <c r="B24" s="72" t="s">
        <v>314</v>
      </c>
      <c r="C24" s="73"/>
      <c r="D24" s="73"/>
      <c r="E24" s="73"/>
      <c r="F24" s="74"/>
    </row>
    <row r="25" spans="2:6" ht="30" customHeight="1" x14ac:dyDescent="0.25">
      <c r="B25" s="75" t="s">
        <v>315</v>
      </c>
      <c r="C25" s="76"/>
      <c r="D25" s="76"/>
      <c r="E25" s="77"/>
      <c r="F25" s="29" t="s">
        <v>316</v>
      </c>
    </row>
    <row r="26" spans="2:6" ht="30" customHeight="1" x14ac:dyDescent="0.25">
      <c r="B26" s="66" t="s">
        <v>317</v>
      </c>
      <c r="C26" s="67"/>
      <c r="D26" s="67"/>
      <c r="E26" s="67"/>
      <c r="F26" s="68"/>
    </row>
    <row r="27" spans="2:6" x14ac:dyDescent="0.25">
      <c r="B27" s="24"/>
      <c r="F27" s="25"/>
    </row>
    <row r="28" spans="2:6" ht="13.5" customHeight="1" x14ac:dyDescent="0.25">
      <c r="B28" s="72" t="s">
        <v>318</v>
      </c>
      <c r="C28" s="73"/>
      <c r="D28" s="73"/>
      <c r="E28" s="73"/>
      <c r="F28" s="74"/>
    </row>
    <row r="29" spans="2:6" ht="30" customHeight="1" x14ac:dyDescent="0.25">
      <c r="B29" s="75" t="s">
        <v>319</v>
      </c>
      <c r="C29" s="76"/>
      <c r="D29" s="76"/>
      <c r="E29" s="77"/>
      <c r="F29" s="29" t="s">
        <v>316</v>
      </c>
    </row>
    <row r="30" spans="2:6" ht="30" customHeight="1" x14ac:dyDescent="0.25">
      <c r="B30" s="66" t="s">
        <v>344</v>
      </c>
      <c r="C30" s="67"/>
      <c r="D30" s="67"/>
      <c r="E30" s="67"/>
      <c r="F30" s="68"/>
    </row>
    <row r="31" spans="2:6" x14ac:dyDescent="0.25">
      <c r="B31" s="24"/>
      <c r="F31" s="25"/>
    </row>
    <row r="32" spans="2:6" ht="13.5" customHeight="1" x14ac:dyDescent="0.25">
      <c r="B32" s="72" t="s">
        <v>345</v>
      </c>
      <c r="C32" s="73"/>
      <c r="D32" s="73"/>
      <c r="E32" s="73"/>
      <c r="F32" s="74"/>
    </row>
    <row r="33" spans="2:6" ht="30" customHeight="1" x14ac:dyDescent="0.25">
      <c r="B33" s="75" t="s">
        <v>346</v>
      </c>
      <c r="C33" s="76"/>
      <c r="D33" s="76"/>
      <c r="E33" s="77"/>
      <c r="F33" s="30" t="s">
        <v>308</v>
      </c>
    </row>
    <row r="34" spans="2:6" ht="30" customHeight="1" x14ac:dyDescent="0.25">
      <c r="B34" s="66" t="s">
        <v>320</v>
      </c>
      <c r="C34" s="67"/>
      <c r="D34" s="67"/>
      <c r="E34" s="67"/>
      <c r="F34" s="68"/>
    </row>
    <row r="35" spans="2:6" x14ac:dyDescent="0.25">
      <c r="B35" s="24"/>
      <c r="F35" s="25"/>
    </row>
    <row r="36" spans="2:6" ht="27.75" customHeight="1" x14ac:dyDescent="0.25">
      <c r="B36" s="69" t="s">
        <v>353</v>
      </c>
      <c r="C36" s="70"/>
      <c r="D36" s="70"/>
      <c r="E36" s="70"/>
      <c r="F36" s="71"/>
    </row>
  </sheetData>
  <mergeCells count="26">
    <mergeCell ref="B9:E9"/>
    <mergeCell ref="B2:F2"/>
    <mergeCell ref="B4:F4"/>
    <mergeCell ref="B5:E5"/>
    <mergeCell ref="B6:F6"/>
    <mergeCell ref="B8:F8"/>
    <mergeCell ref="B25:E25"/>
    <mergeCell ref="B10:F10"/>
    <mergeCell ref="B12:F12"/>
    <mergeCell ref="B13:E13"/>
    <mergeCell ref="B14:F14"/>
    <mergeCell ref="B16:F16"/>
    <mergeCell ref="B17:E17"/>
    <mergeCell ref="B18:F18"/>
    <mergeCell ref="B20:F20"/>
    <mergeCell ref="B21:E21"/>
    <mergeCell ref="B22:F22"/>
    <mergeCell ref="B24:F24"/>
    <mergeCell ref="B34:F34"/>
    <mergeCell ref="B36:F36"/>
    <mergeCell ref="B26:F26"/>
    <mergeCell ref="B28:F28"/>
    <mergeCell ref="B29:E29"/>
    <mergeCell ref="B30:F30"/>
    <mergeCell ref="B32:F32"/>
    <mergeCell ref="B33:E3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F341-AD1C-4B74-9F88-5A9177D8E624}">
  <dimension ref="A1:AC119"/>
  <sheetViews>
    <sheetView zoomScale="90" zoomScaleNormal="90" workbookViewId="0">
      <selection activeCell="A2" sqref="A2"/>
    </sheetView>
  </sheetViews>
  <sheetFormatPr defaultColWidth="21.140625" defaultRowHeight="15" x14ac:dyDescent="0.25"/>
  <cols>
    <col min="1" max="1" width="14.85546875" style="1" bestFit="1" customWidth="1"/>
    <col min="2" max="2" width="8.85546875" bestFit="1" customWidth="1"/>
    <col min="3" max="3" width="10" bestFit="1" customWidth="1"/>
    <col min="4" max="4" width="23.28515625" bestFit="1" customWidth="1"/>
    <col min="5" max="5" width="12.7109375" bestFit="1" customWidth="1"/>
    <col min="6" max="6" width="10" bestFit="1" customWidth="1"/>
    <col min="7" max="7" width="15.28515625" bestFit="1" customWidth="1"/>
    <col min="8" max="8" width="10.7109375" bestFit="1" customWidth="1"/>
    <col min="9" max="9" width="15.42578125" bestFit="1" customWidth="1"/>
    <col min="10" max="10" width="10.7109375" style="3" bestFit="1" customWidth="1"/>
    <col min="11" max="11" width="13.5703125" style="37" bestFit="1" customWidth="1"/>
    <col min="12" max="12" width="18.140625" bestFit="1" customWidth="1"/>
    <col min="13" max="13" width="15.5703125" bestFit="1" customWidth="1"/>
    <col min="14" max="14" width="17.5703125" style="3" bestFit="1" customWidth="1"/>
    <col min="15" max="15" width="20.140625" style="3" bestFit="1" customWidth="1"/>
    <col min="16" max="16" width="20.85546875" style="3" bestFit="1" customWidth="1"/>
    <col min="17" max="17" width="15.7109375" style="3" bestFit="1" customWidth="1"/>
    <col min="18" max="18" width="15.7109375" customWidth="1"/>
    <col min="19" max="19" width="20.85546875" style="5" bestFit="1" customWidth="1"/>
    <col min="20" max="20" width="20.7109375" style="40" bestFit="1" customWidth="1"/>
    <col min="21" max="21" width="22.5703125" style="4" bestFit="1" customWidth="1"/>
    <col min="22" max="22" width="18.7109375" bestFit="1" customWidth="1"/>
    <col min="23" max="23" width="10.42578125" bestFit="1" customWidth="1"/>
    <col min="24" max="24" width="19.28515625" bestFit="1" customWidth="1"/>
    <col min="25" max="26" width="19.28515625" customWidth="1"/>
    <col min="27" max="27" width="16.140625" bestFit="1" customWidth="1"/>
    <col min="28" max="28" width="36.140625" bestFit="1" customWidth="1"/>
    <col min="29" max="29" width="33.140625" customWidth="1"/>
  </cols>
  <sheetData>
    <row r="1" spans="1:29" x14ac:dyDescent="0.25">
      <c r="A1" s="1" t="s">
        <v>0</v>
      </c>
      <c r="B1" s="1" t="s">
        <v>247</v>
      </c>
      <c r="C1" s="1" t="s">
        <v>248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3" t="s">
        <v>7</v>
      </c>
      <c r="K1" s="37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t="s">
        <v>263</v>
      </c>
      <c r="S1" s="3" t="s">
        <v>15</v>
      </c>
      <c r="T1" s="39" t="s">
        <v>16</v>
      </c>
      <c r="U1" s="4" t="s">
        <v>17</v>
      </c>
      <c r="V1" t="s">
        <v>18</v>
      </c>
      <c r="W1" s="4" t="s">
        <v>19</v>
      </c>
      <c r="X1" t="s">
        <v>20</v>
      </c>
      <c r="Y1" t="s">
        <v>325</v>
      </c>
      <c r="Z1" t="s">
        <v>321</v>
      </c>
      <c r="AA1" t="s">
        <v>334</v>
      </c>
      <c r="AB1" t="s">
        <v>21</v>
      </c>
      <c r="AC1" t="s">
        <v>22</v>
      </c>
    </row>
    <row r="2" spans="1:29" x14ac:dyDescent="0.25">
      <c r="A2" s="2">
        <v>44568</v>
      </c>
      <c r="B2" s="2" t="str">
        <f>TEXT(Limpopo_poultry_hatchery_production_RAW3[[#This Row],[Week_Ending]], "mmm")</f>
        <v>Jan</v>
      </c>
      <c r="C2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s="3">
        <v>22000</v>
      </c>
      <c r="K2" s="38" t="s">
        <v>30</v>
      </c>
      <c r="L2" s="5">
        <f>(Limpopo_poultry_hatchery_production_RAW3[[#This Row],[Eggs_Fertile]]/Limpopo_poultry_hatchery_production_RAW3[[#This Row],[Eggs_Set]])*100</f>
        <v>95</v>
      </c>
      <c r="M2" s="5">
        <v>19200</v>
      </c>
      <c r="N2" s="3">
        <f>(Limpopo_poultry_hatchery_production_RAW3[[#This Row],[Eggs_Hatched]]/Limpopo_poultry_hatchery_production_RAW3[[#This Row],[Eggs_Fertile]])*100</f>
        <v>91.866028708133967</v>
      </c>
      <c r="O2" s="3">
        <v>18800</v>
      </c>
      <c r="P2" s="3">
        <v>320</v>
      </c>
      <c r="Q2" s="3">
        <v>80</v>
      </c>
      <c r="R2" s="3">
        <f>(Limpopo_poultry_hatchery_production_RAW3[[#This Row],[Chicks_Culled]]/Limpopo_poultry_hatchery_production_RAW3[[#This Row],[Eggs_Hatched]])*100</f>
        <v>0.41666666666666669</v>
      </c>
      <c r="S2" s="3">
        <v>8800</v>
      </c>
      <c r="T2" s="40" t="s">
        <v>34</v>
      </c>
      <c r="U2" s="4">
        <v>37.6</v>
      </c>
      <c r="V2">
        <v>58</v>
      </c>
      <c r="W2" s="4">
        <v>12</v>
      </c>
      <c r="X2" t="s">
        <v>37</v>
      </c>
      <c r="Y2">
        <f>IF(Limpopo_poultry_hatchery_production_RAW3[[#This Row],[Biosecurity_Check]]="Pass",0,1)</f>
        <v>0</v>
      </c>
      <c r="Z2" t="str">
        <f>IF(Limpopo_poultry_hatchery_production_RAW3[[#This Row],[Hatchability_Pct]]&lt;91, "⚠ Low Hatchability","√ OK")</f>
        <v>√ OK</v>
      </c>
      <c r="AA2">
        <f>IF(Limpopo_poultry_hatchery_production_RAW3[[#This Row],[QC Flag]]="√ OK", 0, 1)</f>
        <v>0</v>
      </c>
      <c r="AB2" t="s">
        <v>38</v>
      </c>
      <c r="AC2" t="s">
        <v>39</v>
      </c>
    </row>
    <row r="3" spans="1:29" x14ac:dyDescent="0.25">
      <c r="A3" s="2">
        <v>44568</v>
      </c>
      <c r="B3" s="2" t="str">
        <f>TEXT(Limpopo_poultry_hatchery_production_RAW3[[#This Row],[Week_Ending]], "mmm")</f>
        <v>Jan</v>
      </c>
      <c r="C3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3" t="s">
        <v>40</v>
      </c>
      <c r="E3" t="s">
        <v>25</v>
      </c>
      <c r="F3" t="s">
        <v>26</v>
      </c>
      <c r="G3" t="s">
        <v>41</v>
      </c>
      <c r="H3" t="s">
        <v>42</v>
      </c>
      <c r="I3" t="s">
        <v>29</v>
      </c>
      <c r="J3" s="3">
        <v>18500</v>
      </c>
      <c r="K3" s="38" t="s">
        <v>43</v>
      </c>
      <c r="L3" s="5">
        <f>(Limpopo_poultry_hatchery_production_RAW3[[#This Row],[Eggs_Fertile]]/Limpopo_poultry_hatchery_production_RAW3[[#This Row],[Eggs_Set]])*100</f>
        <v>94</v>
      </c>
      <c r="M3" s="9">
        <v>15900</v>
      </c>
      <c r="N3" s="3">
        <f>(Limpopo_poultry_hatchery_production_RAW3[[#This Row],[Eggs_Hatched]]/Limpopo_poultry_hatchery_production_RAW3[[#This Row],[Eggs_Fertile]])*100</f>
        <v>91.431857389304199</v>
      </c>
      <c r="O3" s="3">
        <v>15500</v>
      </c>
      <c r="P3" s="3">
        <v>280</v>
      </c>
      <c r="Q3" s="3">
        <v>120</v>
      </c>
      <c r="R3" s="3">
        <f>(Limpopo_poultry_hatchery_production_RAW3[[#This Row],[Chicks_Culled]]/Limpopo_poultry_hatchery_production_RAW3[[#This Row],[Eggs_Hatched]])*100</f>
        <v>0.75471698113207553</v>
      </c>
      <c r="S3" s="3">
        <v>7400</v>
      </c>
      <c r="T3" s="40" t="s">
        <v>47</v>
      </c>
      <c r="U3" s="4">
        <v>37.700000000000003</v>
      </c>
      <c r="V3">
        <v>57</v>
      </c>
      <c r="W3" s="4">
        <v>8</v>
      </c>
      <c r="X3" t="s">
        <v>37</v>
      </c>
      <c r="Y3">
        <f>IF(Limpopo_poultry_hatchery_production_RAW3[[#This Row],[Biosecurity_Check]]="Pass",0,1)</f>
        <v>0</v>
      </c>
      <c r="Z3" t="str">
        <f>IF(Limpopo_poultry_hatchery_production_RAW3[[#This Row],[Hatchability_Pct]]&lt;91, "⚠ Low Hatchability","√ OK")</f>
        <v>√ OK</v>
      </c>
      <c r="AA3">
        <f>IF(Limpopo_poultry_hatchery_production_RAW3[[#This Row],[QC Flag]]="√ OK", 0, 1)</f>
        <v>0</v>
      </c>
      <c r="AB3" t="s">
        <v>38</v>
      </c>
      <c r="AC3" t="s">
        <v>39</v>
      </c>
    </row>
    <row r="4" spans="1:29" x14ac:dyDescent="0.25">
      <c r="A4" s="2">
        <v>44568</v>
      </c>
      <c r="B4" s="2" t="str">
        <f>TEXT(Limpopo_poultry_hatchery_production_RAW3[[#This Row],[Week_Ending]], "mmm")</f>
        <v>Jan</v>
      </c>
      <c r="C4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4" t="s">
        <v>50</v>
      </c>
      <c r="E4" t="s">
        <v>51</v>
      </c>
      <c r="F4" t="s">
        <v>26</v>
      </c>
      <c r="G4" t="s">
        <v>52</v>
      </c>
      <c r="H4" t="s">
        <v>53</v>
      </c>
      <c r="I4" t="s">
        <v>54</v>
      </c>
      <c r="J4" s="3">
        <v>15000</v>
      </c>
      <c r="K4" s="38" t="s">
        <v>55</v>
      </c>
      <c r="L4" s="5">
        <f>(Limpopo_poultry_hatchery_production_RAW3[[#This Row],[Eggs_Fertile]]/Limpopo_poultry_hatchery_production_RAW3[[#This Row],[Eggs_Set]])*100</f>
        <v>94</v>
      </c>
      <c r="M4" s="9">
        <v>12800</v>
      </c>
      <c r="N4" s="3">
        <f>(Limpopo_poultry_hatchery_production_RAW3[[#This Row],[Eggs_Hatched]]/Limpopo_poultry_hatchery_production_RAW3[[#This Row],[Eggs_Fertile]])*100</f>
        <v>90.780141843971634</v>
      </c>
      <c r="O4" s="3">
        <v>12600</v>
      </c>
      <c r="P4" s="3">
        <v>150</v>
      </c>
      <c r="Q4" s="3">
        <v>50</v>
      </c>
      <c r="R4" s="3">
        <f>(Limpopo_poultry_hatchery_production_RAW3[[#This Row],[Chicks_Culled]]/Limpopo_poultry_hatchery_production_RAW3[[#This Row],[Eggs_Hatched]])*100</f>
        <v>0.390625</v>
      </c>
      <c r="S4" s="3">
        <v>6000</v>
      </c>
      <c r="T4" s="40" t="s">
        <v>58</v>
      </c>
      <c r="U4" s="4">
        <v>37.5</v>
      </c>
      <c r="V4">
        <v>59</v>
      </c>
      <c r="W4" s="4">
        <v>6</v>
      </c>
      <c r="X4" t="s">
        <v>37</v>
      </c>
      <c r="Y4">
        <f>IF(Limpopo_poultry_hatchery_production_RAW3[[#This Row],[Biosecurity_Check]]="Pass",0,1)</f>
        <v>0</v>
      </c>
      <c r="Z4" t="str">
        <f>IF(Limpopo_poultry_hatchery_production_RAW3[[#This Row],[Hatchability_Pct]]&lt;91, "⚠ Low Hatchability","√ OK")</f>
        <v>⚠ Low Hatchability</v>
      </c>
      <c r="AA4">
        <f>IF(Limpopo_poultry_hatchery_production_RAW3[[#This Row],[QC Flag]]="√ OK", 0, 1)</f>
        <v>1</v>
      </c>
      <c r="AB4" t="s">
        <v>61</v>
      </c>
      <c r="AC4" t="s">
        <v>39</v>
      </c>
    </row>
    <row r="5" spans="1:29" x14ac:dyDescent="0.25">
      <c r="A5" s="2">
        <v>44568</v>
      </c>
      <c r="B5" s="2" t="str">
        <f>TEXT(Limpopo_poultry_hatchery_production_RAW3[[#This Row],[Week_Ending]], "mmm")</f>
        <v>Jan</v>
      </c>
      <c r="C5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5" t="s">
        <v>62</v>
      </c>
      <c r="E5" t="s">
        <v>25</v>
      </c>
      <c r="F5" t="s">
        <v>63</v>
      </c>
      <c r="G5" t="s">
        <v>64</v>
      </c>
      <c r="H5" t="s">
        <v>65</v>
      </c>
      <c r="I5" t="s">
        <v>66</v>
      </c>
      <c r="J5" s="3">
        <v>25000</v>
      </c>
      <c r="K5" s="38" t="s">
        <v>67</v>
      </c>
      <c r="L5" s="5">
        <f>(Limpopo_poultry_hatchery_production_RAW3[[#This Row],[Eggs_Fertile]]/Limpopo_poultry_hatchery_production_RAW3[[#This Row],[Eggs_Set]])*100</f>
        <v>94</v>
      </c>
      <c r="M5" s="9">
        <v>21600</v>
      </c>
      <c r="N5" s="3">
        <f>(Limpopo_poultry_hatchery_production_RAW3[[#This Row],[Eggs_Hatched]]/Limpopo_poultry_hatchery_production_RAW3[[#This Row],[Eggs_Fertile]])*100</f>
        <v>91.914893617021278</v>
      </c>
      <c r="O5" s="3">
        <v>21100</v>
      </c>
      <c r="P5" s="3">
        <v>380</v>
      </c>
      <c r="Q5" s="3">
        <v>120</v>
      </c>
      <c r="R5" s="3">
        <f>(Limpopo_poultry_hatchery_production_RAW3[[#This Row],[Chicks_Culled]]/Limpopo_poultry_hatchery_production_RAW3[[#This Row],[Eggs_Hatched]])*100</f>
        <v>0.55555555555555558</v>
      </c>
      <c r="S5" s="3">
        <v>10000</v>
      </c>
      <c r="T5" s="40" t="s">
        <v>69</v>
      </c>
      <c r="U5" s="4">
        <v>37.6</v>
      </c>
      <c r="V5">
        <v>58</v>
      </c>
      <c r="W5" s="4">
        <v>15</v>
      </c>
      <c r="X5" t="s">
        <v>37</v>
      </c>
      <c r="Y5">
        <f>IF(Limpopo_poultry_hatchery_production_RAW3[[#This Row],[Biosecurity_Check]]="Pass",0,1)</f>
        <v>0</v>
      </c>
      <c r="Z5" t="str">
        <f>IF(Limpopo_poultry_hatchery_production_RAW3[[#This Row],[Hatchability_Pct]]&lt;91, "⚠ Low Hatchability","√ OK")</f>
        <v>√ OK</v>
      </c>
      <c r="AA5">
        <f>IF(Limpopo_poultry_hatchery_production_RAW3[[#This Row],[QC Flag]]="√ OK", 0, 1)</f>
        <v>0</v>
      </c>
      <c r="AB5" t="s">
        <v>38</v>
      </c>
      <c r="AC5" t="s">
        <v>39</v>
      </c>
    </row>
    <row r="6" spans="1:29" x14ac:dyDescent="0.25">
      <c r="A6" s="2">
        <v>44568</v>
      </c>
      <c r="B6" s="2" t="str">
        <f>TEXT(Limpopo_poultry_hatchery_production_RAW3[[#This Row],[Week_Ending]], "mmm")</f>
        <v>Jan</v>
      </c>
      <c r="C6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29</v>
      </c>
      <c r="J6" s="3">
        <v>12000</v>
      </c>
      <c r="K6" s="38" t="s">
        <v>78</v>
      </c>
      <c r="L6" s="5">
        <f>(Limpopo_poultry_hatchery_production_RAW3[[#This Row],[Eggs_Fertile]]/Limpopo_poultry_hatchery_production_RAW3[[#This Row],[Eggs_Set]])*100</f>
        <v>95</v>
      </c>
      <c r="M6" s="9">
        <v>10500</v>
      </c>
      <c r="N6" s="3">
        <f>(Limpopo_poultry_hatchery_production_RAW3[[#This Row],[Eggs_Hatched]]/Limpopo_poultry_hatchery_production_RAW3[[#This Row],[Eggs_Fertile]])*100</f>
        <v>92.10526315789474</v>
      </c>
      <c r="O6" s="3">
        <v>10300</v>
      </c>
      <c r="P6" s="3">
        <v>150</v>
      </c>
      <c r="Q6" s="3">
        <v>50</v>
      </c>
      <c r="R6" s="3">
        <f>(Limpopo_poultry_hatchery_production_RAW3[[#This Row],[Chicks_Culled]]/Limpopo_poultry_hatchery_production_RAW3[[#This Row],[Eggs_Hatched]])*100</f>
        <v>0.47619047619047622</v>
      </c>
      <c r="S6" s="3">
        <v>4800</v>
      </c>
      <c r="T6" s="40" t="s">
        <v>81</v>
      </c>
      <c r="U6" s="4">
        <v>37.5</v>
      </c>
      <c r="V6">
        <v>58</v>
      </c>
      <c r="W6" s="4">
        <v>5</v>
      </c>
      <c r="X6" t="s">
        <v>37</v>
      </c>
      <c r="Y6">
        <f>IF(Limpopo_poultry_hatchery_production_RAW3[[#This Row],[Biosecurity_Check]]="Pass",0,1)</f>
        <v>0</v>
      </c>
      <c r="Z6" t="str">
        <f>IF(Limpopo_poultry_hatchery_production_RAW3[[#This Row],[Hatchability_Pct]]&lt;91, "⚠ Low Hatchability","√ OK")</f>
        <v>√ OK</v>
      </c>
      <c r="AA6">
        <f>IF(Limpopo_poultry_hatchery_production_RAW3[[#This Row],[QC Flag]]="√ OK", 0, 1)</f>
        <v>0</v>
      </c>
      <c r="AB6" t="s">
        <v>83</v>
      </c>
      <c r="AC6" t="s">
        <v>84</v>
      </c>
    </row>
    <row r="7" spans="1:29" x14ac:dyDescent="0.25">
      <c r="A7" s="2">
        <v>44568</v>
      </c>
      <c r="B7" s="2" t="str">
        <f>TEXT(Limpopo_poultry_hatchery_production_RAW3[[#This Row],[Week_Ending]], "mmm")</f>
        <v>Jan</v>
      </c>
      <c r="C7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7" t="s">
        <v>85</v>
      </c>
      <c r="E7" t="s">
        <v>25</v>
      </c>
      <c r="F7" t="s">
        <v>75</v>
      </c>
      <c r="G7" t="s">
        <v>86</v>
      </c>
      <c r="H7" t="s">
        <v>87</v>
      </c>
      <c r="I7" t="s">
        <v>66</v>
      </c>
      <c r="J7" s="3">
        <v>19000</v>
      </c>
      <c r="K7" s="38" t="s">
        <v>88</v>
      </c>
      <c r="L7" s="5">
        <f>(Limpopo_poultry_hatchery_production_RAW3[[#This Row],[Eggs_Fertile]]/Limpopo_poultry_hatchery_production_RAW3[[#This Row],[Eggs_Set]])*100</f>
        <v>94</v>
      </c>
      <c r="M7" s="9">
        <v>16400</v>
      </c>
      <c r="N7" s="3">
        <f>(Limpopo_poultry_hatchery_production_RAW3[[#This Row],[Eggs_Hatched]]/Limpopo_poultry_hatchery_production_RAW3[[#This Row],[Eggs_Fertile]])*100</f>
        <v>91.82530795072789</v>
      </c>
      <c r="O7" s="3">
        <v>16000</v>
      </c>
      <c r="P7" s="3">
        <v>290</v>
      </c>
      <c r="Q7" s="3">
        <v>110</v>
      </c>
      <c r="R7" s="3">
        <f>(Limpopo_poultry_hatchery_production_RAW3[[#This Row],[Chicks_Culled]]/Limpopo_poultry_hatchery_production_RAW3[[#This Row],[Eggs_Hatched]])*100</f>
        <v>0.67073170731707321</v>
      </c>
      <c r="S7" s="3">
        <v>7600</v>
      </c>
      <c r="T7" s="40" t="s">
        <v>91</v>
      </c>
      <c r="U7" s="4">
        <v>37.700000000000003</v>
      </c>
      <c r="V7">
        <v>57</v>
      </c>
      <c r="W7" s="4">
        <v>10</v>
      </c>
      <c r="X7" t="s">
        <v>37</v>
      </c>
      <c r="Y7">
        <f>IF(Limpopo_poultry_hatchery_production_RAW3[[#This Row],[Biosecurity_Check]]="Pass",0,1)</f>
        <v>0</v>
      </c>
      <c r="Z7" t="str">
        <f>IF(Limpopo_poultry_hatchery_production_RAW3[[#This Row],[Hatchability_Pct]]&lt;91, "⚠ Low Hatchability","√ OK")</f>
        <v>√ OK</v>
      </c>
      <c r="AA7">
        <f>IF(Limpopo_poultry_hatchery_production_RAW3[[#This Row],[QC Flag]]="√ OK", 0, 1)</f>
        <v>0</v>
      </c>
      <c r="AB7" t="s">
        <v>38</v>
      </c>
      <c r="AC7" t="s">
        <v>39</v>
      </c>
    </row>
    <row r="8" spans="1:29" x14ac:dyDescent="0.25">
      <c r="A8" s="2">
        <v>44575</v>
      </c>
      <c r="B8" s="2" t="str">
        <f>TEXT(Limpopo_poultry_hatchery_production_RAW3[[#This Row],[Week_Ending]], "mmm")</f>
        <v>Jan</v>
      </c>
      <c r="C8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 s="3">
        <v>22000</v>
      </c>
      <c r="K8" s="38" t="s">
        <v>94</v>
      </c>
      <c r="L8" s="5">
        <f>(Limpopo_poultry_hatchery_production_RAW3[[#This Row],[Eggs_Fertile]]/Limpopo_poultry_hatchery_production_RAW3[[#This Row],[Eggs_Set]])*100</f>
        <v>96</v>
      </c>
      <c r="M8" s="9">
        <v>19400</v>
      </c>
      <c r="N8" s="3">
        <f>(Limpopo_poultry_hatchery_production_RAW3[[#This Row],[Eggs_Hatched]]/Limpopo_poultry_hatchery_production_RAW3[[#This Row],[Eggs_Fertile]])*100</f>
        <v>91.856060606060609</v>
      </c>
      <c r="O8" s="3">
        <v>19000</v>
      </c>
      <c r="P8" s="3">
        <v>300</v>
      </c>
      <c r="Q8" s="3">
        <v>100</v>
      </c>
      <c r="R8" s="3">
        <f>(Limpopo_poultry_hatchery_production_RAW3[[#This Row],[Chicks_Culled]]/Limpopo_poultry_hatchery_production_RAW3[[#This Row],[Eggs_Hatched]])*100</f>
        <v>0.51546391752577314</v>
      </c>
      <c r="S8" s="3">
        <v>8800</v>
      </c>
      <c r="T8" s="40" t="s">
        <v>34</v>
      </c>
      <c r="U8" s="4">
        <v>37.6</v>
      </c>
      <c r="V8">
        <v>58</v>
      </c>
      <c r="W8" s="4">
        <v>9</v>
      </c>
      <c r="X8" t="s">
        <v>37</v>
      </c>
      <c r="Y8">
        <f>IF(Limpopo_poultry_hatchery_production_RAW3[[#This Row],[Biosecurity_Check]]="Pass",0,1)</f>
        <v>0</v>
      </c>
      <c r="Z8" t="str">
        <f>IF(Limpopo_poultry_hatchery_production_RAW3[[#This Row],[Hatchability_Pct]]&lt;91, "⚠ Low Hatchability","√ OK")</f>
        <v>√ OK</v>
      </c>
      <c r="AA8">
        <f>IF(Limpopo_poultry_hatchery_production_RAW3[[#This Row],[QC Flag]]="√ OK", 0, 1)</f>
        <v>0</v>
      </c>
      <c r="AC8" t="s">
        <v>39</v>
      </c>
    </row>
    <row r="9" spans="1:29" x14ac:dyDescent="0.25">
      <c r="A9" s="2">
        <v>44575</v>
      </c>
      <c r="B9" s="2" t="str">
        <f>TEXT(Limpopo_poultry_hatchery_production_RAW3[[#This Row],[Week_Ending]], "mmm")</f>
        <v>Jan</v>
      </c>
      <c r="C9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9" t="s">
        <v>40</v>
      </c>
      <c r="E9" t="s">
        <v>25</v>
      </c>
      <c r="F9" t="s">
        <v>26</v>
      </c>
      <c r="G9" t="s">
        <v>41</v>
      </c>
      <c r="H9" t="s">
        <v>42</v>
      </c>
      <c r="I9" t="s">
        <v>29</v>
      </c>
      <c r="J9" s="3">
        <v>18500</v>
      </c>
      <c r="K9" s="38" t="s">
        <v>43</v>
      </c>
      <c r="L9" s="5">
        <f>(Limpopo_poultry_hatchery_production_RAW3[[#This Row],[Eggs_Fertile]]/Limpopo_poultry_hatchery_production_RAW3[[#This Row],[Eggs_Set]])*100</f>
        <v>94</v>
      </c>
      <c r="M9" s="9">
        <v>15800</v>
      </c>
      <c r="N9" s="3">
        <f>(Limpopo_poultry_hatchery_production_RAW3[[#This Row],[Eggs_Hatched]]/Limpopo_poultry_hatchery_production_RAW3[[#This Row],[Eggs_Fertile]])*100</f>
        <v>90.856814261069587</v>
      </c>
      <c r="O9" s="3">
        <v>15400</v>
      </c>
      <c r="P9" s="3">
        <v>290</v>
      </c>
      <c r="Q9" s="3">
        <v>110</v>
      </c>
      <c r="R9" s="3">
        <f>(Limpopo_poultry_hatchery_production_RAW3[[#This Row],[Chicks_Culled]]/Limpopo_poultry_hatchery_production_RAW3[[#This Row],[Eggs_Hatched]])*100</f>
        <v>0.69620253164556956</v>
      </c>
      <c r="S9" s="3">
        <v>7400</v>
      </c>
      <c r="T9" s="40" t="s">
        <v>47</v>
      </c>
      <c r="U9" s="4">
        <v>37.799999999999997</v>
      </c>
      <c r="V9">
        <v>56</v>
      </c>
      <c r="W9" s="4">
        <v>11</v>
      </c>
      <c r="X9" t="s">
        <v>37</v>
      </c>
      <c r="Y9">
        <f>IF(Limpopo_poultry_hatchery_production_RAW3[[#This Row],[Biosecurity_Check]]="Pass",0,1)</f>
        <v>0</v>
      </c>
      <c r="Z9" t="str">
        <f>IF(Limpopo_poultry_hatchery_production_RAW3[[#This Row],[Hatchability_Pct]]&lt;91, "⚠ Low Hatchability","√ OK")</f>
        <v>⚠ Low Hatchability</v>
      </c>
      <c r="AA9">
        <f>IF(Limpopo_poultry_hatchery_production_RAW3[[#This Row],[QC Flag]]="√ OK", 0, 1)</f>
        <v>1</v>
      </c>
      <c r="AC9" t="s">
        <v>39</v>
      </c>
    </row>
    <row r="10" spans="1:29" x14ac:dyDescent="0.25">
      <c r="A10" s="2">
        <v>44575</v>
      </c>
      <c r="B10" s="2" t="str">
        <f>TEXT(Limpopo_poultry_hatchery_production_RAW3[[#This Row],[Week_Ending]], "mmm")</f>
        <v>Jan</v>
      </c>
      <c r="C10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10" t="s">
        <v>50</v>
      </c>
      <c r="E10" t="s">
        <v>51</v>
      </c>
      <c r="F10" t="s">
        <v>26</v>
      </c>
      <c r="G10" t="s">
        <v>52</v>
      </c>
      <c r="H10" t="s">
        <v>53</v>
      </c>
      <c r="I10" t="s">
        <v>54</v>
      </c>
      <c r="J10" s="3">
        <v>15000</v>
      </c>
      <c r="K10" s="38" t="s">
        <v>103</v>
      </c>
      <c r="L10" s="5">
        <f>(Limpopo_poultry_hatchery_production_RAW3[[#This Row],[Eggs_Fertile]]/Limpopo_poultry_hatchery_production_RAW3[[#This Row],[Eggs_Set]])*100</f>
        <v>95</v>
      </c>
      <c r="M10" s="9">
        <v>12950</v>
      </c>
      <c r="N10" s="3">
        <f>(Limpopo_poultry_hatchery_production_RAW3[[#This Row],[Eggs_Hatched]]/Limpopo_poultry_hatchery_production_RAW3[[#This Row],[Eggs_Fertile]])*100</f>
        <v>90.877192982456151</v>
      </c>
      <c r="O10" s="3">
        <v>12750</v>
      </c>
      <c r="P10" s="3">
        <v>160</v>
      </c>
      <c r="Q10" s="3">
        <v>40</v>
      </c>
      <c r="R10" s="3">
        <f>(Limpopo_poultry_hatchery_production_RAW3[[#This Row],[Chicks_Culled]]/Limpopo_poultry_hatchery_production_RAW3[[#This Row],[Eggs_Hatched]])*100</f>
        <v>0.30888030888030887</v>
      </c>
      <c r="S10" s="3">
        <v>6000</v>
      </c>
      <c r="T10" s="40" t="s">
        <v>58</v>
      </c>
      <c r="U10" s="4">
        <v>37.5</v>
      </c>
      <c r="V10">
        <v>59</v>
      </c>
      <c r="W10" s="4">
        <v>4</v>
      </c>
      <c r="X10" t="s">
        <v>37</v>
      </c>
      <c r="Y10">
        <f>IF(Limpopo_poultry_hatchery_production_RAW3[[#This Row],[Biosecurity_Check]]="Pass",0,1)</f>
        <v>0</v>
      </c>
      <c r="Z10" t="str">
        <f>IF(Limpopo_poultry_hatchery_production_RAW3[[#This Row],[Hatchability_Pct]]&lt;91, "⚠ Low Hatchability","√ OK")</f>
        <v>⚠ Low Hatchability</v>
      </c>
      <c r="AA10">
        <f>IF(Limpopo_poultry_hatchery_production_RAW3[[#This Row],[QC Flag]]="√ OK", 0, 1)</f>
        <v>1</v>
      </c>
      <c r="AC10" t="s">
        <v>107</v>
      </c>
    </row>
    <row r="11" spans="1:29" x14ac:dyDescent="0.25">
      <c r="A11" s="2">
        <v>44575</v>
      </c>
      <c r="B11" s="2" t="str">
        <f>TEXT(Limpopo_poultry_hatchery_production_RAW3[[#This Row],[Week_Ending]], "mmm")</f>
        <v>Jan</v>
      </c>
      <c r="C11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11" t="s">
        <v>62</v>
      </c>
      <c r="E11" t="s">
        <v>25</v>
      </c>
      <c r="F11" t="s">
        <v>63</v>
      </c>
      <c r="G11" t="s">
        <v>64</v>
      </c>
      <c r="H11" t="s">
        <v>65</v>
      </c>
      <c r="I11" t="s">
        <v>66</v>
      </c>
      <c r="J11" s="3">
        <v>25000</v>
      </c>
      <c r="K11" s="38" t="s">
        <v>108</v>
      </c>
      <c r="L11" s="5">
        <f>(Limpopo_poultry_hatchery_production_RAW3[[#This Row],[Eggs_Fertile]]/Limpopo_poultry_hatchery_production_RAW3[[#This Row],[Eggs_Set]])*100</f>
        <v>95</v>
      </c>
      <c r="M11" s="9">
        <v>21800</v>
      </c>
      <c r="N11" s="3">
        <f>(Limpopo_poultry_hatchery_production_RAW3[[#This Row],[Eggs_Hatched]]/Limpopo_poultry_hatchery_production_RAW3[[#This Row],[Eggs_Fertile]])*100</f>
        <v>91.78947368421052</v>
      </c>
      <c r="O11" s="3">
        <v>21300</v>
      </c>
      <c r="P11" s="3">
        <v>370</v>
      </c>
      <c r="Q11" s="3">
        <v>130</v>
      </c>
      <c r="R11" s="3">
        <f>(Limpopo_poultry_hatchery_production_RAW3[[#This Row],[Chicks_Culled]]/Limpopo_poultry_hatchery_production_RAW3[[#This Row],[Eggs_Hatched]])*100</f>
        <v>0.59633027522935778</v>
      </c>
      <c r="S11" s="3">
        <v>10000</v>
      </c>
      <c r="T11" s="40" t="s">
        <v>69</v>
      </c>
      <c r="U11" s="4">
        <v>37.5</v>
      </c>
      <c r="V11">
        <v>58</v>
      </c>
      <c r="W11" s="4">
        <v>13</v>
      </c>
      <c r="X11" t="s">
        <v>37</v>
      </c>
      <c r="Y11">
        <f>IF(Limpopo_poultry_hatchery_production_RAW3[[#This Row],[Biosecurity_Check]]="Pass",0,1)</f>
        <v>0</v>
      </c>
      <c r="Z11" t="str">
        <f>IF(Limpopo_poultry_hatchery_production_RAW3[[#This Row],[Hatchability_Pct]]&lt;91, "⚠ Low Hatchability","√ OK")</f>
        <v>√ OK</v>
      </c>
      <c r="AA11">
        <f>IF(Limpopo_poultry_hatchery_production_RAW3[[#This Row],[QC Flag]]="√ OK", 0, 1)</f>
        <v>0</v>
      </c>
      <c r="AC11" t="s">
        <v>39</v>
      </c>
    </row>
    <row r="12" spans="1:29" x14ac:dyDescent="0.25">
      <c r="A12" s="2">
        <v>44575</v>
      </c>
      <c r="B12" s="2" t="str">
        <f>TEXT(Limpopo_poultry_hatchery_production_RAW3[[#This Row],[Week_Ending]], "mmm")</f>
        <v>Jan</v>
      </c>
      <c r="C12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  <c r="I12" t="s">
        <v>29</v>
      </c>
      <c r="J12" s="3">
        <v>12000</v>
      </c>
      <c r="K12" s="38" t="s">
        <v>112</v>
      </c>
      <c r="L12" s="5">
        <f>(Limpopo_poultry_hatchery_production_RAW3[[#This Row],[Eggs_Fertile]]/Limpopo_poultry_hatchery_production_RAW3[[#This Row],[Eggs_Set]])*100</f>
        <v>96</v>
      </c>
      <c r="M12" s="9">
        <v>10600</v>
      </c>
      <c r="N12" s="3">
        <f>(Limpopo_poultry_hatchery_production_RAW3[[#This Row],[Eggs_Hatched]]/Limpopo_poultry_hatchery_production_RAW3[[#This Row],[Eggs_Fertile]])*100</f>
        <v>92.013888888888886</v>
      </c>
      <c r="O12" s="3">
        <v>10400</v>
      </c>
      <c r="P12" s="3">
        <v>160</v>
      </c>
      <c r="Q12" s="3">
        <v>40</v>
      </c>
      <c r="R12" s="3">
        <f>(Limpopo_poultry_hatchery_production_RAW3[[#This Row],[Chicks_Culled]]/Limpopo_poultry_hatchery_production_RAW3[[#This Row],[Eggs_Hatched]])*100</f>
        <v>0.37735849056603776</v>
      </c>
      <c r="S12" s="3">
        <v>4800</v>
      </c>
      <c r="T12" s="40" t="s">
        <v>81</v>
      </c>
      <c r="U12" s="4">
        <v>37.5</v>
      </c>
      <c r="V12">
        <v>58</v>
      </c>
      <c r="W12" s="4">
        <v>4</v>
      </c>
      <c r="X12" t="s">
        <v>37</v>
      </c>
      <c r="Y12">
        <f>IF(Limpopo_poultry_hatchery_production_RAW3[[#This Row],[Biosecurity_Check]]="Pass",0,1)</f>
        <v>0</v>
      </c>
      <c r="Z12" t="str">
        <f>IF(Limpopo_poultry_hatchery_production_RAW3[[#This Row],[Hatchability_Pct]]&lt;91, "⚠ Low Hatchability","√ OK")</f>
        <v>√ OK</v>
      </c>
      <c r="AA12">
        <f>IF(Limpopo_poultry_hatchery_production_RAW3[[#This Row],[QC Flag]]="√ OK", 0, 1)</f>
        <v>0</v>
      </c>
      <c r="AC12" t="s">
        <v>115</v>
      </c>
    </row>
    <row r="13" spans="1:29" x14ac:dyDescent="0.25">
      <c r="A13" s="2">
        <v>44575</v>
      </c>
      <c r="B13" s="2" t="str">
        <f>TEXT(Limpopo_poultry_hatchery_production_RAW3[[#This Row],[Week_Ending]], "mmm")</f>
        <v>Jan</v>
      </c>
      <c r="C13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13" t="s">
        <v>85</v>
      </c>
      <c r="E13" t="s">
        <v>25</v>
      </c>
      <c r="F13" t="s">
        <v>75</v>
      </c>
      <c r="G13" t="s">
        <v>86</v>
      </c>
      <c r="H13" t="s">
        <v>87</v>
      </c>
      <c r="I13" t="s">
        <v>66</v>
      </c>
      <c r="J13" s="3">
        <v>19000</v>
      </c>
      <c r="K13" s="38" t="s">
        <v>88</v>
      </c>
      <c r="L13" s="5">
        <f>(Limpopo_poultry_hatchery_production_RAW3[[#This Row],[Eggs_Fertile]]/Limpopo_poultry_hatchery_production_RAW3[[#This Row],[Eggs_Set]])*100</f>
        <v>94</v>
      </c>
      <c r="M13" s="9">
        <v>16300</v>
      </c>
      <c r="N13" s="3">
        <f>(Limpopo_poultry_hatchery_production_RAW3[[#This Row],[Eggs_Hatched]]/Limpopo_poultry_hatchery_production_RAW3[[#This Row],[Eggs_Fertile]])*100</f>
        <v>91.265397536394175</v>
      </c>
      <c r="O13" s="3">
        <v>15900</v>
      </c>
      <c r="P13" s="3">
        <v>295</v>
      </c>
      <c r="Q13" s="3">
        <v>105</v>
      </c>
      <c r="R13" s="3">
        <f>(Limpopo_poultry_hatchery_production_RAW3[[#This Row],[Chicks_Culled]]/Limpopo_poultry_hatchery_production_RAW3[[#This Row],[Eggs_Hatched]])*100</f>
        <v>0.64417177914110435</v>
      </c>
      <c r="S13" s="3">
        <v>7600</v>
      </c>
      <c r="T13" s="40" t="s">
        <v>91</v>
      </c>
      <c r="U13" s="4">
        <v>37.700000000000003</v>
      </c>
      <c r="V13">
        <v>57</v>
      </c>
      <c r="W13" s="4">
        <v>8</v>
      </c>
      <c r="X13" t="s">
        <v>37</v>
      </c>
      <c r="Y13">
        <f>IF(Limpopo_poultry_hatchery_production_RAW3[[#This Row],[Biosecurity_Check]]="Pass",0,1)</f>
        <v>0</v>
      </c>
      <c r="Z13" t="str">
        <f>IF(Limpopo_poultry_hatchery_production_RAW3[[#This Row],[Hatchability_Pct]]&lt;91, "⚠ Low Hatchability","√ OK")</f>
        <v>√ OK</v>
      </c>
      <c r="AA13">
        <f>IF(Limpopo_poultry_hatchery_production_RAW3[[#This Row],[QC Flag]]="√ OK", 0, 1)</f>
        <v>0</v>
      </c>
      <c r="AC13" t="s">
        <v>39</v>
      </c>
    </row>
    <row r="14" spans="1:29" x14ac:dyDescent="0.25">
      <c r="A14" s="2">
        <v>44582</v>
      </c>
      <c r="B14" s="2" t="str">
        <f>TEXT(Limpopo_poultry_hatchery_production_RAW3[[#This Row],[Week_Ending]], "mmm")</f>
        <v>Jan</v>
      </c>
      <c r="C14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s="3">
        <v>22000</v>
      </c>
      <c r="K14" s="38" t="s">
        <v>119</v>
      </c>
      <c r="L14" s="5">
        <f>(Limpopo_poultry_hatchery_production_RAW3[[#This Row],[Eggs_Fertile]]/Limpopo_poultry_hatchery_production_RAW3[[#This Row],[Eggs_Set]])*100</f>
        <v>94</v>
      </c>
      <c r="M14" s="9">
        <v>18900</v>
      </c>
      <c r="N14" s="3">
        <f>(Limpopo_poultry_hatchery_production_RAW3[[#This Row],[Eggs_Hatched]]/Limpopo_poultry_hatchery_production_RAW3[[#This Row],[Eggs_Fertile]])*100</f>
        <v>91.392649903288202</v>
      </c>
      <c r="O14" s="3">
        <v>18500</v>
      </c>
      <c r="P14" s="3">
        <v>310</v>
      </c>
      <c r="Q14" s="3">
        <v>90</v>
      </c>
      <c r="R14" s="3">
        <f>(Limpopo_poultry_hatchery_production_RAW3[[#This Row],[Chicks_Culled]]/Limpopo_poultry_hatchery_production_RAW3[[#This Row],[Eggs_Hatched]])*100</f>
        <v>0.47619047619047622</v>
      </c>
      <c r="S14" s="3">
        <v>8800</v>
      </c>
      <c r="T14" s="40" t="s">
        <v>34</v>
      </c>
      <c r="U14" s="4">
        <v>37.700000000000003</v>
      </c>
      <c r="V14">
        <v>57</v>
      </c>
      <c r="W14" s="4">
        <v>14</v>
      </c>
      <c r="X14" t="s">
        <v>37</v>
      </c>
      <c r="Y14">
        <f>IF(Limpopo_poultry_hatchery_production_RAW3[[#This Row],[Biosecurity_Check]]="Pass",0,1)</f>
        <v>0</v>
      </c>
      <c r="Z14" t="str">
        <f>IF(Limpopo_poultry_hatchery_production_RAW3[[#This Row],[Hatchability_Pct]]&lt;91, "⚠ Low Hatchability","√ OK")</f>
        <v>√ OK</v>
      </c>
      <c r="AA14">
        <f>IF(Limpopo_poultry_hatchery_production_RAW3[[#This Row],[QC Flag]]="√ OK", 0, 1)</f>
        <v>0</v>
      </c>
      <c r="AC14" t="s">
        <v>39</v>
      </c>
    </row>
    <row r="15" spans="1:29" x14ac:dyDescent="0.25">
      <c r="A15" s="2">
        <v>44582</v>
      </c>
      <c r="B15" s="2" t="str">
        <f>TEXT(Limpopo_poultry_hatchery_production_RAW3[[#This Row],[Week_Ending]], "mmm")</f>
        <v>Jan</v>
      </c>
      <c r="C15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15" t="s">
        <v>40</v>
      </c>
      <c r="E15" t="s">
        <v>25</v>
      </c>
      <c r="F15" t="s">
        <v>26</v>
      </c>
      <c r="G15" t="s">
        <v>41</v>
      </c>
      <c r="H15" t="s">
        <v>42</v>
      </c>
      <c r="I15" t="s">
        <v>29</v>
      </c>
      <c r="J15">
        <v>18500</v>
      </c>
      <c r="K15" s="38" t="s">
        <v>122</v>
      </c>
      <c r="L15" s="5">
        <f>(Limpopo_poultry_hatchery_production_RAW3[[#This Row],[Eggs_Fertile]]/Limpopo_poultry_hatchery_production_RAW3[[#This Row],[Eggs_Set]])*100</f>
        <v>93</v>
      </c>
      <c r="M15" s="9">
        <v>15600</v>
      </c>
      <c r="N15" s="3">
        <f>(Limpopo_poultry_hatchery_production_RAW3[[#This Row],[Eggs_Hatched]]/Limpopo_poultry_hatchery_production_RAW3[[#This Row],[Eggs_Fertile]])*100</f>
        <v>90.671316477768087</v>
      </c>
      <c r="O15" s="3">
        <v>15200</v>
      </c>
      <c r="P15" s="3">
        <v>305</v>
      </c>
      <c r="Q15" s="3">
        <v>95</v>
      </c>
      <c r="R15" s="3">
        <f>(Limpopo_poultry_hatchery_production_RAW3[[#This Row],[Chicks_Culled]]/Limpopo_poultry_hatchery_production_RAW3[[#This Row],[Eggs_Hatched]])*100</f>
        <v>0.60897435897435903</v>
      </c>
      <c r="S15" s="3">
        <v>7400</v>
      </c>
      <c r="T15" s="40" t="s">
        <v>47</v>
      </c>
      <c r="U15">
        <v>37.6</v>
      </c>
      <c r="V15">
        <v>58</v>
      </c>
      <c r="W15">
        <v>13</v>
      </c>
      <c r="X15" t="s">
        <v>244</v>
      </c>
      <c r="Y15">
        <f>IF(Limpopo_poultry_hatchery_production_RAW3[[#This Row],[Biosecurity_Check]]="Pass",0,1)</f>
        <v>1</v>
      </c>
      <c r="Z15" t="str">
        <f>IF(Limpopo_poultry_hatchery_production_RAW3[[#This Row],[Hatchability_Pct]]&lt;91, "⚠ Low Hatchability","√ OK")</f>
        <v>⚠ Low Hatchability</v>
      </c>
      <c r="AA15">
        <f>IF(Limpopo_poultry_hatchery_production_RAW3[[#This Row],[QC Flag]]="√ OK", 0, 1)</f>
        <v>1</v>
      </c>
      <c r="AC15" t="s">
        <v>127</v>
      </c>
    </row>
    <row r="16" spans="1:29" x14ac:dyDescent="0.25">
      <c r="A16" s="2">
        <v>44582</v>
      </c>
      <c r="B16" s="2" t="str">
        <f>TEXT(Limpopo_poultry_hatchery_production_RAW3[[#This Row],[Week_Ending]], "mmm")</f>
        <v>Jan</v>
      </c>
      <c r="C16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16" t="s">
        <v>50</v>
      </c>
      <c r="E16" t="s">
        <v>51</v>
      </c>
      <c r="F16" t="s">
        <v>26</v>
      </c>
      <c r="G16" t="s">
        <v>52</v>
      </c>
      <c r="H16" t="s">
        <v>53</v>
      </c>
      <c r="I16" t="s">
        <v>54</v>
      </c>
      <c r="J16" s="3">
        <v>15000</v>
      </c>
      <c r="K16" s="38" t="s">
        <v>128</v>
      </c>
      <c r="L16" s="5">
        <f>(Limpopo_poultry_hatchery_production_RAW3[[#This Row],[Eggs_Fertile]]/Limpopo_poultry_hatchery_production_RAW3[[#This Row],[Eggs_Set]])*100</f>
        <v>93</v>
      </c>
      <c r="M16" s="9">
        <v>12600</v>
      </c>
      <c r="N16" s="3">
        <f>(Limpopo_poultry_hatchery_production_RAW3[[#This Row],[Eggs_Hatched]]/Limpopo_poultry_hatchery_production_RAW3[[#This Row],[Eggs_Fertile]])*100</f>
        <v>90.322580645161281</v>
      </c>
      <c r="O16" s="3">
        <v>12400</v>
      </c>
      <c r="P16" s="3">
        <v>170</v>
      </c>
      <c r="Q16" s="3">
        <v>30</v>
      </c>
      <c r="R16" s="3">
        <f>(Limpopo_poultry_hatchery_production_RAW3[[#This Row],[Chicks_Culled]]/Limpopo_poultry_hatchery_production_RAW3[[#This Row],[Eggs_Hatched]])*100</f>
        <v>0.23809523809523811</v>
      </c>
      <c r="S16" s="3">
        <v>6000</v>
      </c>
      <c r="T16" s="40" t="s">
        <v>58</v>
      </c>
      <c r="U16" s="4">
        <v>37.6</v>
      </c>
      <c r="V16">
        <v>58</v>
      </c>
      <c r="W16" s="4">
        <v>7</v>
      </c>
      <c r="X16" t="s">
        <v>37</v>
      </c>
      <c r="Y16">
        <f>IF(Limpopo_poultry_hatchery_production_RAW3[[#This Row],[Biosecurity_Check]]="Pass",0,1)</f>
        <v>0</v>
      </c>
      <c r="Z16" t="str">
        <f>IF(Limpopo_poultry_hatchery_production_RAW3[[#This Row],[Hatchability_Pct]]&lt;91, "⚠ Low Hatchability","√ OK")</f>
        <v>⚠ Low Hatchability</v>
      </c>
      <c r="AA16">
        <f>IF(Limpopo_poultry_hatchery_production_RAW3[[#This Row],[QC Flag]]="√ OK", 0, 1)</f>
        <v>1</v>
      </c>
      <c r="AC16" t="s">
        <v>39</v>
      </c>
    </row>
    <row r="17" spans="1:29" x14ac:dyDescent="0.25">
      <c r="A17" s="2">
        <v>44582</v>
      </c>
      <c r="B17" s="2" t="str">
        <f>TEXT(Limpopo_poultry_hatchery_production_RAW3[[#This Row],[Week_Ending]], "mmm")</f>
        <v>Jan</v>
      </c>
      <c r="C17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17" t="s">
        <v>62</v>
      </c>
      <c r="E17" t="s">
        <v>25</v>
      </c>
      <c r="F17" t="s">
        <v>63</v>
      </c>
      <c r="G17" t="s">
        <v>64</v>
      </c>
      <c r="H17" t="s">
        <v>65</v>
      </c>
      <c r="I17" t="s">
        <v>66</v>
      </c>
      <c r="J17" s="3">
        <v>25000</v>
      </c>
      <c r="K17" s="38" t="s">
        <v>67</v>
      </c>
      <c r="L17" s="5">
        <f>(Limpopo_poultry_hatchery_production_RAW3[[#This Row],[Eggs_Fertile]]/Limpopo_poultry_hatchery_production_RAW3[[#This Row],[Eggs_Set]])*100</f>
        <v>94</v>
      </c>
      <c r="M17" s="9">
        <v>21500</v>
      </c>
      <c r="N17" s="3">
        <f>(Limpopo_poultry_hatchery_production_RAW3[[#This Row],[Eggs_Hatched]]/Limpopo_poultry_hatchery_production_RAW3[[#This Row],[Eggs_Fertile]])*100</f>
        <v>91.489361702127653</v>
      </c>
      <c r="O17" s="3">
        <v>21000</v>
      </c>
      <c r="P17" s="3">
        <v>375</v>
      </c>
      <c r="Q17" s="3">
        <v>125</v>
      </c>
      <c r="R17" s="3">
        <f>(Limpopo_poultry_hatchery_production_RAW3[[#This Row],[Chicks_Culled]]/Limpopo_poultry_hatchery_production_RAW3[[#This Row],[Eggs_Hatched]])*100</f>
        <v>0.58139534883720934</v>
      </c>
      <c r="S17" s="3">
        <v>10000</v>
      </c>
      <c r="T17" s="40" t="s">
        <v>69</v>
      </c>
      <c r="U17" s="4">
        <v>37.6</v>
      </c>
      <c r="V17">
        <v>57</v>
      </c>
      <c r="W17" s="4">
        <v>16</v>
      </c>
      <c r="X17" t="s">
        <v>37</v>
      </c>
      <c r="Y17">
        <f>IF(Limpopo_poultry_hatchery_production_RAW3[[#This Row],[Biosecurity_Check]]="Pass",0,1)</f>
        <v>0</v>
      </c>
      <c r="Z17" t="str">
        <f>IF(Limpopo_poultry_hatchery_production_RAW3[[#This Row],[Hatchability_Pct]]&lt;91, "⚠ Low Hatchability","√ OK")</f>
        <v>√ OK</v>
      </c>
      <c r="AA17">
        <f>IF(Limpopo_poultry_hatchery_production_RAW3[[#This Row],[QC Flag]]="√ OK", 0, 1)</f>
        <v>0</v>
      </c>
      <c r="AC17" t="s">
        <v>39</v>
      </c>
    </row>
    <row r="18" spans="1:29" x14ac:dyDescent="0.25">
      <c r="A18" s="2">
        <v>44582</v>
      </c>
      <c r="B18" s="2" t="str">
        <f>TEXT(Limpopo_poultry_hatchery_production_RAW3[[#This Row],[Week_Ending]], "mmm")</f>
        <v>Jan</v>
      </c>
      <c r="C18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29</v>
      </c>
      <c r="J18" s="3">
        <v>12000</v>
      </c>
      <c r="K18" s="38" t="s">
        <v>135</v>
      </c>
      <c r="L18" s="5">
        <f>(Limpopo_poultry_hatchery_production_RAW3[[#This Row],[Eggs_Fertile]]/Limpopo_poultry_hatchery_production_RAW3[[#This Row],[Eggs_Set]])*100</f>
        <v>94</v>
      </c>
      <c r="M18" s="9">
        <v>10300</v>
      </c>
      <c r="N18" s="3">
        <f>(Limpopo_poultry_hatchery_production_RAW3[[#This Row],[Eggs_Hatched]]/Limpopo_poultry_hatchery_production_RAW3[[#This Row],[Eggs_Fertile]])*100</f>
        <v>91.312056737588648</v>
      </c>
      <c r="O18" s="3">
        <v>10100</v>
      </c>
      <c r="P18" s="3">
        <v>165</v>
      </c>
      <c r="Q18" s="3">
        <v>35</v>
      </c>
      <c r="R18" s="3">
        <f>(Limpopo_poultry_hatchery_production_RAW3[[#This Row],[Chicks_Culled]]/Limpopo_poultry_hatchery_production_RAW3[[#This Row],[Eggs_Hatched]])*100</f>
        <v>0.33980582524271846</v>
      </c>
      <c r="S18" s="3">
        <v>4800</v>
      </c>
      <c r="T18" s="40" t="s">
        <v>81</v>
      </c>
      <c r="U18" s="4">
        <v>37.6</v>
      </c>
      <c r="V18">
        <v>57</v>
      </c>
      <c r="W18" s="4">
        <v>6</v>
      </c>
      <c r="X18" t="s">
        <v>37</v>
      </c>
      <c r="Y18">
        <f>IF(Limpopo_poultry_hatchery_production_RAW3[[#This Row],[Biosecurity_Check]]="Pass",0,1)</f>
        <v>0</v>
      </c>
      <c r="Z18" t="str">
        <f>IF(Limpopo_poultry_hatchery_production_RAW3[[#This Row],[Hatchability_Pct]]&lt;91, "⚠ Low Hatchability","√ OK")</f>
        <v>√ OK</v>
      </c>
      <c r="AA18">
        <f>IF(Limpopo_poultry_hatchery_production_RAW3[[#This Row],[QC Flag]]="√ OK", 0, 1)</f>
        <v>0</v>
      </c>
      <c r="AC18" t="s">
        <v>39</v>
      </c>
    </row>
    <row r="19" spans="1:29" x14ac:dyDescent="0.25">
      <c r="A19" s="2">
        <v>44582</v>
      </c>
      <c r="B19" s="2" t="str">
        <f>TEXT(Limpopo_poultry_hatchery_production_RAW3[[#This Row],[Week_Ending]], "mmm")</f>
        <v>Jan</v>
      </c>
      <c r="C19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19" t="s">
        <v>85</v>
      </c>
      <c r="E19" t="s">
        <v>25</v>
      </c>
      <c r="F19" t="s">
        <v>75</v>
      </c>
      <c r="G19" t="s">
        <v>86</v>
      </c>
      <c r="H19" t="s">
        <v>87</v>
      </c>
      <c r="I19" t="s">
        <v>66</v>
      </c>
      <c r="J19" s="3">
        <v>19000</v>
      </c>
      <c r="K19" s="38" t="s">
        <v>137</v>
      </c>
      <c r="L19" s="5">
        <f>(Limpopo_poultry_hatchery_production_RAW3[[#This Row],[Eggs_Fertile]]/Limpopo_poultry_hatchery_production_RAW3[[#This Row],[Eggs_Set]])*100</f>
        <v>93</v>
      </c>
      <c r="M19" s="9">
        <v>16100</v>
      </c>
      <c r="N19" s="3">
        <f>(Limpopo_poultry_hatchery_production_RAW3[[#This Row],[Eggs_Hatched]]/Limpopo_poultry_hatchery_production_RAW3[[#This Row],[Eggs_Fertile]])*100</f>
        <v>91.114883984153934</v>
      </c>
      <c r="O19" s="3">
        <v>15700</v>
      </c>
      <c r="P19" s="3">
        <v>300</v>
      </c>
      <c r="Q19" s="3">
        <v>100</v>
      </c>
      <c r="R19" s="3">
        <f>(Limpopo_poultry_hatchery_production_RAW3[[#This Row],[Chicks_Culled]]/Limpopo_poultry_hatchery_production_RAW3[[#This Row],[Eggs_Hatched]])*100</f>
        <v>0.6211180124223602</v>
      </c>
      <c r="S19" s="3">
        <v>7600</v>
      </c>
      <c r="T19" s="40" t="s">
        <v>91</v>
      </c>
      <c r="U19" s="4">
        <v>37.799999999999997</v>
      </c>
      <c r="V19">
        <v>56</v>
      </c>
      <c r="W19" s="4">
        <v>12</v>
      </c>
      <c r="X19" t="s">
        <v>37</v>
      </c>
      <c r="Y19">
        <f>IF(Limpopo_poultry_hatchery_production_RAW3[[#This Row],[Biosecurity_Check]]="Pass",0,1)</f>
        <v>0</v>
      </c>
      <c r="Z19" t="str">
        <f>IF(Limpopo_poultry_hatchery_production_RAW3[[#This Row],[Hatchability_Pct]]&lt;91, "⚠ Low Hatchability","√ OK")</f>
        <v>√ OK</v>
      </c>
      <c r="AA19">
        <f>IF(Limpopo_poultry_hatchery_production_RAW3[[#This Row],[QC Flag]]="√ OK", 0, 1)</f>
        <v>0</v>
      </c>
      <c r="AC19" t="s">
        <v>39</v>
      </c>
    </row>
    <row r="20" spans="1:29" x14ac:dyDescent="0.25">
      <c r="A20" s="2">
        <v>44589</v>
      </c>
      <c r="B20" s="2" t="str">
        <f>TEXT(Limpopo_poultry_hatchery_production_RAW3[[#This Row],[Week_Ending]], "mmm")</f>
        <v>Jan</v>
      </c>
      <c r="C20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  <c r="I20" t="s">
        <v>29</v>
      </c>
      <c r="J20" s="3">
        <v>22000</v>
      </c>
      <c r="K20" s="38" t="s">
        <v>94</v>
      </c>
      <c r="L20" s="5">
        <f>(Limpopo_poultry_hatchery_production_RAW3[[#This Row],[Eggs_Fertile]]/Limpopo_poultry_hatchery_production_RAW3[[#This Row],[Eggs_Set]])*100</f>
        <v>96</v>
      </c>
      <c r="M20" s="9">
        <v>19500</v>
      </c>
      <c r="N20" s="3">
        <f>(Limpopo_poultry_hatchery_production_RAW3[[#This Row],[Eggs_Hatched]]/Limpopo_poultry_hatchery_production_RAW3[[#This Row],[Eggs_Fertile]])*100</f>
        <v>92.329545454545453</v>
      </c>
      <c r="O20" s="3">
        <v>19100</v>
      </c>
      <c r="P20" s="3">
        <v>285</v>
      </c>
      <c r="Q20" s="3">
        <v>115</v>
      </c>
      <c r="R20" s="3">
        <f>(Limpopo_poultry_hatchery_production_RAW3[[#This Row],[Chicks_Culled]]/Limpopo_poultry_hatchery_production_RAW3[[#This Row],[Eggs_Hatched]])*100</f>
        <v>0.58974358974358976</v>
      </c>
      <c r="S20" s="3">
        <v>8800</v>
      </c>
      <c r="T20" s="40" t="s">
        <v>34</v>
      </c>
      <c r="U20" s="4">
        <v>37.5</v>
      </c>
      <c r="V20">
        <v>59</v>
      </c>
      <c r="W20" s="4">
        <v>8</v>
      </c>
      <c r="X20" t="s">
        <v>37</v>
      </c>
      <c r="Y20">
        <f>IF(Limpopo_poultry_hatchery_production_RAW3[[#This Row],[Biosecurity_Check]]="Pass",0,1)</f>
        <v>0</v>
      </c>
      <c r="Z20" t="str">
        <f>IF(Limpopo_poultry_hatchery_production_RAW3[[#This Row],[Hatchability_Pct]]&lt;91, "⚠ Low Hatchability","√ OK")</f>
        <v>√ OK</v>
      </c>
      <c r="AA20">
        <f>IF(Limpopo_poultry_hatchery_production_RAW3[[#This Row],[QC Flag]]="√ OK", 0, 1)</f>
        <v>0</v>
      </c>
      <c r="AB20" t="s">
        <v>143</v>
      </c>
      <c r="AC20" t="s">
        <v>39</v>
      </c>
    </row>
    <row r="21" spans="1:29" x14ac:dyDescent="0.25">
      <c r="A21" s="2">
        <v>44589</v>
      </c>
      <c r="B21" s="2" t="str">
        <f>TEXT(Limpopo_poultry_hatchery_production_RAW3[[#This Row],[Week_Ending]], "mmm")</f>
        <v>Jan</v>
      </c>
      <c r="C21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21" t="s">
        <v>40</v>
      </c>
      <c r="E21" t="s">
        <v>25</v>
      </c>
      <c r="F21" t="s">
        <v>26</v>
      </c>
      <c r="G21" t="s">
        <v>41</v>
      </c>
      <c r="H21" t="s">
        <v>42</v>
      </c>
      <c r="I21" t="s">
        <v>29</v>
      </c>
      <c r="J21" s="3">
        <v>18500</v>
      </c>
      <c r="K21" s="38" t="s">
        <v>144</v>
      </c>
      <c r="L21" s="5">
        <f>(Limpopo_poultry_hatchery_production_RAW3[[#This Row],[Eggs_Fertile]]/Limpopo_poultry_hatchery_production_RAW3[[#This Row],[Eggs_Set]])*100</f>
        <v>97</v>
      </c>
      <c r="M21" s="9">
        <v>16400</v>
      </c>
      <c r="N21" s="3">
        <f>(Limpopo_poultry_hatchery_production_RAW3[[#This Row],[Eggs_Hatched]]/Limpopo_poultry_hatchery_production_RAW3[[#This Row],[Eggs_Fertile]])*100</f>
        <v>91.390359431596551</v>
      </c>
      <c r="O21" s="3">
        <v>16000</v>
      </c>
      <c r="P21" s="3">
        <v>310</v>
      </c>
      <c r="Q21" s="3">
        <v>90</v>
      </c>
      <c r="R21" s="3">
        <f>(Limpopo_poultry_hatchery_production_RAW3[[#This Row],[Chicks_Culled]]/Limpopo_poultry_hatchery_production_RAW3[[#This Row],[Eggs_Hatched]])*100</f>
        <v>0.54878048780487798</v>
      </c>
      <c r="S21" s="3">
        <v>7400</v>
      </c>
      <c r="T21" s="40" t="s">
        <v>47</v>
      </c>
      <c r="U21" s="4">
        <v>37.5</v>
      </c>
      <c r="V21">
        <v>59</v>
      </c>
      <c r="W21" s="4">
        <v>7</v>
      </c>
      <c r="X21" t="s">
        <v>37</v>
      </c>
      <c r="Y21">
        <f>IF(Limpopo_poultry_hatchery_production_RAW3[[#This Row],[Biosecurity_Check]]="Pass",0,1)</f>
        <v>0</v>
      </c>
      <c r="Z21" t="str">
        <f>IF(Limpopo_poultry_hatchery_production_RAW3[[#This Row],[Hatchability_Pct]]&lt;91, "⚠ Low Hatchability","√ OK")</f>
        <v>√ OK</v>
      </c>
      <c r="AA21">
        <f>IF(Limpopo_poultry_hatchery_production_RAW3[[#This Row],[QC Flag]]="√ OK", 0, 1)</f>
        <v>0</v>
      </c>
      <c r="AB21" t="s">
        <v>143</v>
      </c>
      <c r="AC21" t="s">
        <v>39</v>
      </c>
    </row>
    <row r="22" spans="1:29" x14ac:dyDescent="0.25">
      <c r="A22" s="2">
        <v>44589</v>
      </c>
      <c r="B22" s="2" t="str">
        <f>TEXT(Limpopo_poultry_hatchery_production_RAW3[[#This Row],[Week_Ending]], "mmm")</f>
        <v>Jan</v>
      </c>
      <c r="C22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22" t="s">
        <v>50</v>
      </c>
      <c r="E22" t="s">
        <v>51</v>
      </c>
      <c r="F22" t="s">
        <v>26</v>
      </c>
      <c r="G22" t="s">
        <v>52</v>
      </c>
      <c r="H22" t="s">
        <v>53</v>
      </c>
      <c r="I22" t="s">
        <v>54</v>
      </c>
      <c r="J22" s="3">
        <v>15000</v>
      </c>
      <c r="K22" s="38" t="s">
        <v>81</v>
      </c>
      <c r="L22" s="5">
        <f>(Limpopo_poultry_hatchery_production_RAW3[[#This Row],[Eggs_Fertile]]/Limpopo_poultry_hatchery_production_RAW3[[#This Row],[Eggs_Set]])*100</f>
        <v>96</v>
      </c>
      <c r="M22" s="9">
        <v>13100</v>
      </c>
      <c r="N22" s="3">
        <f>(Limpopo_poultry_hatchery_production_RAW3[[#This Row],[Eggs_Hatched]]/Limpopo_poultry_hatchery_production_RAW3[[#This Row],[Eggs_Fertile]])*100</f>
        <v>90.972222222222214</v>
      </c>
      <c r="O22" s="3">
        <v>12900</v>
      </c>
      <c r="P22" s="3">
        <v>165</v>
      </c>
      <c r="Q22" s="3">
        <v>35</v>
      </c>
      <c r="R22" s="3">
        <f>(Limpopo_poultry_hatchery_production_RAW3[[#This Row],[Chicks_Culled]]/Limpopo_poultry_hatchery_production_RAW3[[#This Row],[Eggs_Hatched]])*100</f>
        <v>0.26717557251908397</v>
      </c>
      <c r="S22" s="3">
        <v>6000</v>
      </c>
      <c r="T22" s="40" t="s">
        <v>58</v>
      </c>
      <c r="U22" s="4">
        <v>37.4</v>
      </c>
      <c r="V22">
        <v>60</v>
      </c>
      <c r="W22" s="4">
        <v>5</v>
      </c>
      <c r="X22" t="s">
        <v>37</v>
      </c>
      <c r="Y22">
        <f>IF(Limpopo_poultry_hatchery_production_RAW3[[#This Row],[Biosecurity_Check]]="Pass",0,1)</f>
        <v>0</v>
      </c>
      <c r="Z22" t="str">
        <f>IF(Limpopo_poultry_hatchery_production_RAW3[[#This Row],[Hatchability_Pct]]&lt;91, "⚠ Low Hatchability","√ OK")</f>
        <v>⚠ Low Hatchability</v>
      </c>
      <c r="AA22">
        <f>IF(Limpopo_poultry_hatchery_production_RAW3[[#This Row],[QC Flag]]="√ OK", 0, 1)</f>
        <v>1</v>
      </c>
      <c r="AB22" t="s">
        <v>61</v>
      </c>
      <c r="AC22" t="s">
        <v>39</v>
      </c>
    </row>
    <row r="23" spans="1:29" x14ac:dyDescent="0.25">
      <c r="A23" s="2">
        <v>44589</v>
      </c>
      <c r="B23" s="2" t="str">
        <f>TEXT(Limpopo_poultry_hatchery_production_RAW3[[#This Row],[Week_Ending]], "mmm")</f>
        <v>Jan</v>
      </c>
      <c r="C23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23" t="s">
        <v>62</v>
      </c>
      <c r="E23" t="s">
        <v>25</v>
      </c>
      <c r="F23" t="s">
        <v>63</v>
      </c>
      <c r="G23" t="s">
        <v>64</v>
      </c>
      <c r="H23" t="s">
        <v>65</v>
      </c>
      <c r="I23" t="s">
        <v>66</v>
      </c>
      <c r="J23" s="3">
        <v>25000</v>
      </c>
      <c r="K23" s="38" t="s">
        <v>150</v>
      </c>
      <c r="L23" s="5">
        <f>(Limpopo_poultry_hatchery_production_RAW3[[#This Row],[Eggs_Fertile]]/Limpopo_poultry_hatchery_production_RAW3[[#This Row],[Eggs_Set]])*100</f>
        <v>96</v>
      </c>
      <c r="M23" s="9">
        <v>22100</v>
      </c>
      <c r="N23" s="3">
        <f>(Limpopo_poultry_hatchery_production_RAW3[[#This Row],[Eggs_Hatched]]/Limpopo_poultry_hatchery_production_RAW3[[#This Row],[Eggs_Fertile]])*100</f>
        <v>92.083333333333329</v>
      </c>
      <c r="O23" s="3">
        <v>21600</v>
      </c>
      <c r="P23" s="3">
        <v>360</v>
      </c>
      <c r="Q23" s="3">
        <v>140</v>
      </c>
      <c r="R23" s="3">
        <f>(Limpopo_poultry_hatchery_production_RAW3[[#This Row],[Chicks_Culled]]/Limpopo_poultry_hatchery_production_RAW3[[#This Row],[Eggs_Hatched]])*100</f>
        <v>0.63348416289592757</v>
      </c>
      <c r="S23" s="3">
        <v>10000</v>
      </c>
      <c r="T23" s="40" t="s">
        <v>69</v>
      </c>
      <c r="U23" s="4">
        <v>37.5</v>
      </c>
      <c r="V23">
        <v>58</v>
      </c>
      <c r="W23" s="4">
        <v>11</v>
      </c>
      <c r="X23" t="s">
        <v>37</v>
      </c>
      <c r="Y23">
        <f>IF(Limpopo_poultry_hatchery_production_RAW3[[#This Row],[Biosecurity_Check]]="Pass",0,1)</f>
        <v>0</v>
      </c>
      <c r="Z23" t="str">
        <f>IF(Limpopo_poultry_hatchery_production_RAW3[[#This Row],[Hatchability_Pct]]&lt;91, "⚠ Low Hatchability","√ OK")</f>
        <v>√ OK</v>
      </c>
      <c r="AA23">
        <f>IF(Limpopo_poultry_hatchery_production_RAW3[[#This Row],[QC Flag]]="√ OK", 0, 1)</f>
        <v>0</v>
      </c>
      <c r="AB23" t="s">
        <v>143</v>
      </c>
      <c r="AC23" t="s">
        <v>152</v>
      </c>
    </row>
    <row r="24" spans="1:29" x14ac:dyDescent="0.25">
      <c r="A24" s="2">
        <v>44589</v>
      </c>
      <c r="B24" s="2" t="str">
        <f>TEXT(Limpopo_poultry_hatchery_production_RAW3[[#This Row],[Week_Ending]], "mmm")</f>
        <v>Jan</v>
      </c>
      <c r="C24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24" t="s">
        <v>73</v>
      </c>
      <c r="E24" t="s">
        <v>74</v>
      </c>
      <c r="F24" t="s">
        <v>75</v>
      </c>
      <c r="G24" t="s">
        <v>76</v>
      </c>
      <c r="H24" t="s">
        <v>77</v>
      </c>
      <c r="I24" t="s">
        <v>29</v>
      </c>
      <c r="J24" s="3">
        <v>12000</v>
      </c>
      <c r="K24" s="38" t="s">
        <v>153</v>
      </c>
      <c r="L24" s="5">
        <f>(Limpopo_poultry_hatchery_production_RAW3[[#This Row],[Eggs_Fertile]]/Limpopo_poultry_hatchery_production_RAW3[[#This Row],[Eggs_Set]])*100</f>
        <v>97</v>
      </c>
      <c r="M24" s="9">
        <v>10700</v>
      </c>
      <c r="N24" s="3">
        <f>(Limpopo_poultry_hatchery_production_RAW3[[#This Row],[Eggs_Hatched]]/Limpopo_poultry_hatchery_production_RAW3[[#This Row],[Eggs_Fertile]])*100</f>
        <v>91.924398625429546</v>
      </c>
      <c r="O24" s="3">
        <v>10500</v>
      </c>
      <c r="P24" s="3">
        <v>155</v>
      </c>
      <c r="Q24" s="3">
        <v>45</v>
      </c>
      <c r="R24" s="3">
        <f>(Limpopo_poultry_hatchery_production_RAW3[[#This Row],[Chicks_Culled]]/Limpopo_poultry_hatchery_production_RAW3[[#This Row],[Eggs_Hatched]])*100</f>
        <v>0.42056074766355139</v>
      </c>
      <c r="S24" s="3">
        <v>4800</v>
      </c>
      <c r="T24" s="40" t="s">
        <v>81</v>
      </c>
      <c r="U24" s="4">
        <v>37.5</v>
      </c>
      <c r="V24">
        <v>58</v>
      </c>
      <c r="W24" s="4">
        <v>3</v>
      </c>
      <c r="X24" t="s">
        <v>37</v>
      </c>
      <c r="Y24">
        <f>IF(Limpopo_poultry_hatchery_production_RAW3[[#This Row],[Biosecurity_Check]]="Pass",0,1)</f>
        <v>0</v>
      </c>
      <c r="Z24" t="str">
        <f>IF(Limpopo_poultry_hatchery_production_RAW3[[#This Row],[Hatchability_Pct]]&lt;91, "⚠ Low Hatchability","√ OK")</f>
        <v>√ OK</v>
      </c>
      <c r="AA24">
        <f>IF(Limpopo_poultry_hatchery_production_RAW3[[#This Row],[QC Flag]]="√ OK", 0, 1)</f>
        <v>0</v>
      </c>
      <c r="AB24" t="s">
        <v>156</v>
      </c>
      <c r="AC24" t="s">
        <v>39</v>
      </c>
    </row>
    <row r="25" spans="1:29" x14ac:dyDescent="0.25">
      <c r="A25" s="2">
        <v>44589</v>
      </c>
      <c r="B25" s="2" t="str">
        <f>TEXT(Limpopo_poultry_hatchery_production_RAW3[[#This Row],[Week_Ending]], "mmm")</f>
        <v>Jan</v>
      </c>
      <c r="C25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25" t="s">
        <v>85</v>
      </c>
      <c r="E25" t="s">
        <v>25</v>
      </c>
      <c r="F25" t="s">
        <v>75</v>
      </c>
      <c r="G25" t="s">
        <v>86</v>
      </c>
      <c r="H25" t="s">
        <v>87</v>
      </c>
      <c r="I25" t="s">
        <v>66</v>
      </c>
      <c r="J25" s="3">
        <v>19000</v>
      </c>
      <c r="K25" s="38" t="s">
        <v>157</v>
      </c>
      <c r="L25" s="5">
        <f>(Limpopo_poultry_hatchery_production_RAW3[[#This Row],[Eggs_Fertile]]/Limpopo_poultry_hatchery_production_RAW3[[#This Row],[Eggs_Set]])*100</f>
        <v>97</v>
      </c>
      <c r="M25" s="9">
        <v>16900</v>
      </c>
      <c r="N25" s="3">
        <f>(Limpopo_poultry_hatchery_production_RAW3[[#This Row],[Eggs_Hatched]]/Limpopo_poultry_hatchery_production_RAW3[[#This Row],[Eggs_Fertile]])*100</f>
        <v>91.698317959848069</v>
      </c>
      <c r="O25" s="3">
        <v>16500</v>
      </c>
      <c r="P25" s="3">
        <v>285</v>
      </c>
      <c r="Q25" s="3">
        <v>115</v>
      </c>
      <c r="R25" s="3">
        <f>(Limpopo_poultry_hatchery_production_RAW3[[#This Row],[Chicks_Culled]]/Limpopo_poultry_hatchery_production_RAW3[[#This Row],[Eggs_Hatched]])*100</f>
        <v>0.68047337278106501</v>
      </c>
      <c r="S25" s="3">
        <v>7600</v>
      </c>
      <c r="T25" s="40" t="s">
        <v>91</v>
      </c>
      <c r="U25" s="4">
        <v>37.6</v>
      </c>
      <c r="V25">
        <v>58</v>
      </c>
      <c r="W25" s="4">
        <v>7</v>
      </c>
      <c r="X25" t="s">
        <v>37</v>
      </c>
      <c r="Y25">
        <f>IF(Limpopo_poultry_hatchery_production_RAW3[[#This Row],[Biosecurity_Check]]="Pass",0,1)</f>
        <v>0</v>
      </c>
      <c r="Z25" t="str">
        <f>IF(Limpopo_poultry_hatchery_production_RAW3[[#This Row],[Hatchability_Pct]]&lt;91, "⚠ Low Hatchability","√ OK")</f>
        <v>√ OK</v>
      </c>
      <c r="AA25">
        <f>IF(Limpopo_poultry_hatchery_production_RAW3[[#This Row],[QC Flag]]="√ OK", 0, 1)</f>
        <v>0</v>
      </c>
      <c r="AB25" t="s">
        <v>143</v>
      </c>
      <c r="AC25" t="s">
        <v>39</v>
      </c>
    </row>
    <row r="26" spans="1:29" ht="16.5" customHeight="1" x14ac:dyDescent="0.25">
      <c r="A26" s="2">
        <v>44596</v>
      </c>
      <c r="B26" s="2" t="str">
        <f>TEXT(Limpopo_poultry_hatchery_production_RAW3[[#This Row],[Week_Ending]], "mmm")</f>
        <v>Feb</v>
      </c>
      <c r="C26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26" t="s">
        <v>24</v>
      </c>
      <c r="E26" t="s">
        <v>25</v>
      </c>
      <c r="F26" t="s">
        <v>26</v>
      </c>
      <c r="G26" t="s">
        <v>27</v>
      </c>
      <c r="H26" t="s">
        <v>28</v>
      </c>
      <c r="I26" t="s">
        <v>29</v>
      </c>
      <c r="J26" s="3">
        <v>22000</v>
      </c>
      <c r="K26" s="38" t="s">
        <v>161</v>
      </c>
      <c r="L26" s="5">
        <f>(Limpopo_poultry_hatchery_production_RAW3[[#This Row],[Eggs_Fertile]]/Limpopo_poultry_hatchery_production_RAW3[[#This Row],[Eggs_Set]])*100</f>
        <v>93</v>
      </c>
      <c r="M26" s="9">
        <v>18700</v>
      </c>
      <c r="N26" s="3">
        <f>(Limpopo_poultry_hatchery_production_RAW3[[#This Row],[Eggs_Hatched]]/Limpopo_poultry_hatchery_production_RAW3[[#This Row],[Eggs_Fertile]])*100</f>
        <v>91.397849462365585</v>
      </c>
      <c r="O26" s="3">
        <v>18300</v>
      </c>
      <c r="P26" s="3">
        <v>320</v>
      </c>
      <c r="Q26" s="3">
        <v>80</v>
      </c>
      <c r="R26" s="3">
        <f>(Limpopo_poultry_hatchery_production_RAW3[[#This Row],[Chicks_Culled]]/Limpopo_poultry_hatchery_production_RAW3[[#This Row],[Eggs_Hatched]])*100</f>
        <v>0.42780748663101603</v>
      </c>
      <c r="S26" s="3">
        <v>8800</v>
      </c>
      <c r="T26" s="40" t="s">
        <v>34</v>
      </c>
      <c r="U26" s="4">
        <v>37.799999999999997</v>
      </c>
      <c r="V26">
        <v>56</v>
      </c>
      <c r="W26" s="4">
        <v>18</v>
      </c>
      <c r="X26" t="s">
        <v>37</v>
      </c>
      <c r="Y26">
        <f>IF(Limpopo_poultry_hatchery_production_RAW3[[#This Row],[Biosecurity_Check]]="Pass",0,1)</f>
        <v>0</v>
      </c>
      <c r="Z26" t="str">
        <f>IF(Limpopo_poultry_hatchery_production_RAW3[[#This Row],[Hatchability_Pct]]&lt;91, "⚠ Low Hatchability","√ OK")</f>
        <v>√ OK</v>
      </c>
      <c r="AA26">
        <f>IF(Limpopo_poultry_hatchery_production_RAW3[[#This Row],[QC Flag]]="√ OK", 0, 1)</f>
        <v>0</v>
      </c>
      <c r="AC26" t="s">
        <v>39</v>
      </c>
    </row>
    <row r="27" spans="1:29" x14ac:dyDescent="0.25">
      <c r="A27" s="2">
        <v>44596</v>
      </c>
      <c r="B27" s="2" t="str">
        <f>TEXT(Limpopo_poultry_hatchery_production_RAW3[[#This Row],[Week_Ending]], "mmm")</f>
        <v>Feb</v>
      </c>
      <c r="C27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27" t="s">
        <v>40</v>
      </c>
      <c r="E27" t="s">
        <v>25</v>
      </c>
      <c r="F27" t="s">
        <v>26</v>
      </c>
      <c r="G27" t="s">
        <v>41</v>
      </c>
      <c r="H27" t="s">
        <v>42</v>
      </c>
      <c r="I27" t="s">
        <v>29</v>
      </c>
      <c r="J27">
        <v>18500</v>
      </c>
      <c r="K27" s="38" t="s">
        <v>164</v>
      </c>
      <c r="L27" s="5">
        <f>(Limpopo_poultry_hatchery_production_RAW3[[#This Row],[Eggs_Fertile]]/Limpopo_poultry_hatchery_production_RAW3[[#This Row],[Eggs_Set]])*100</f>
        <v>91</v>
      </c>
      <c r="M27" s="9">
        <v>15200</v>
      </c>
      <c r="N27" s="3">
        <f>(Limpopo_poultry_hatchery_production_RAW3[[#This Row],[Eggs_Hatched]]/Limpopo_poultry_hatchery_production_RAW3[[#This Row],[Eggs_Fertile]])*100</f>
        <v>90.288090288090288</v>
      </c>
      <c r="O27" s="3">
        <v>14800</v>
      </c>
      <c r="P27" s="3">
        <v>310</v>
      </c>
      <c r="Q27" s="3">
        <v>90</v>
      </c>
      <c r="R27" s="3">
        <f>(Limpopo_poultry_hatchery_production_RAW3[[#This Row],[Chicks_Culled]]/Limpopo_poultry_hatchery_production_RAW3[[#This Row],[Eggs_Hatched]])*100</f>
        <v>0.5921052631578948</v>
      </c>
      <c r="S27" s="3">
        <v>7400</v>
      </c>
      <c r="T27" s="40" t="s">
        <v>47</v>
      </c>
      <c r="U27">
        <v>37.9</v>
      </c>
      <c r="V27">
        <v>55</v>
      </c>
      <c r="W27">
        <v>22</v>
      </c>
      <c r="X27" t="s">
        <v>244</v>
      </c>
      <c r="Y27">
        <f>IF(Limpopo_poultry_hatchery_production_RAW3[[#This Row],[Biosecurity_Check]]="Pass",0,1)</f>
        <v>1</v>
      </c>
      <c r="Z27" t="str">
        <f>IF(Limpopo_poultry_hatchery_production_RAW3[[#This Row],[Hatchability_Pct]]&lt;91, "⚠ Low Hatchability","√ OK")</f>
        <v>⚠ Low Hatchability</v>
      </c>
      <c r="AA27">
        <f>IF(Limpopo_poultry_hatchery_production_RAW3[[#This Row],[QC Flag]]="√ OK", 0, 1)</f>
        <v>1</v>
      </c>
      <c r="AC27" t="s">
        <v>168</v>
      </c>
    </row>
    <row r="28" spans="1:29" x14ac:dyDescent="0.25">
      <c r="A28" s="2">
        <v>44596</v>
      </c>
      <c r="B28" s="2" t="str">
        <f>TEXT(Limpopo_poultry_hatchery_production_RAW3[[#This Row],[Week_Ending]], "mmm")</f>
        <v>Feb</v>
      </c>
      <c r="C28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28" t="s">
        <v>50</v>
      </c>
      <c r="E28" t="s">
        <v>51</v>
      </c>
      <c r="F28" t="s">
        <v>26</v>
      </c>
      <c r="G28" t="s">
        <v>52</v>
      </c>
      <c r="H28" t="s">
        <v>53</v>
      </c>
      <c r="I28" t="s">
        <v>54</v>
      </c>
      <c r="J28" s="3">
        <v>15000</v>
      </c>
      <c r="K28" s="38" t="s">
        <v>169</v>
      </c>
      <c r="L28" s="5">
        <f>(Limpopo_poultry_hatchery_production_RAW3[[#This Row],[Eggs_Fertile]]/Limpopo_poultry_hatchery_production_RAW3[[#This Row],[Eggs_Set]])*100</f>
        <v>92</v>
      </c>
      <c r="M28" s="9">
        <v>12400</v>
      </c>
      <c r="N28" s="3">
        <f>(Limpopo_poultry_hatchery_production_RAW3[[#This Row],[Eggs_Hatched]]/Limpopo_poultry_hatchery_production_RAW3[[#This Row],[Eggs_Fertile]])*100</f>
        <v>89.85507246376811</v>
      </c>
      <c r="O28" s="3">
        <v>12200</v>
      </c>
      <c r="P28" s="3">
        <v>180</v>
      </c>
      <c r="Q28" s="3">
        <v>20</v>
      </c>
      <c r="R28" s="3">
        <f>(Limpopo_poultry_hatchery_production_RAW3[[#This Row],[Chicks_Culled]]/Limpopo_poultry_hatchery_production_RAW3[[#This Row],[Eggs_Hatched]])*100</f>
        <v>0.16129032258064516</v>
      </c>
      <c r="S28" s="3">
        <v>6000</v>
      </c>
      <c r="T28" s="40" t="s">
        <v>58</v>
      </c>
      <c r="U28" s="4">
        <v>37.700000000000003</v>
      </c>
      <c r="V28">
        <v>57</v>
      </c>
      <c r="W28" s="4">
        <v>9</v>
      </c>
      <c r="X28" t="s">
        <v>37</v>
      </c>
      <c r="Y28">
        <f>IF(Limpopo_poultry_hatchery_production_RAW3[[#This Row],[Biosecurity_Check]]="Pass",0,1)</f>
        <v>0</v>
      </c>
      <c r="Z28" t="str">
        <f>IF(Limpopo_poultry_hatchery_production_RAW3[[#This Row],[Hatchability_Pct]]&lt;91, "⚠ Low Hatchability","√ OK")</f>
        <v>⚠ Low Hatchability</v>
      </c>
      <c r="AA28">
        <f>IF(Limpopo_poultry_hatchery_production_RAW3[[#This Row],[QC Flag]]="√ OK", 0, 1)</f>
        <v>1</v>
      </c>
      <c r="AC28" t="s">
        <v>39</v>
      </c>
    </row>
    <row r="29" spans="1:29" x14ac:dyDescent="0.25">
      <c r="A29" s="2">
        <v>44596</v>
      </c>
      <c r="B29" s="2" t="str">
        <f>TEXT(Limpopo_poultry_hatchery_production_RAW3[[#This Row],[Week_Ending]], "mmm")</f>
        <v>Feb</v>
      </c>
      <c r="C29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29" t="s">
        <v>62</v>
      </c>
      <c r="E29" t="s">
        <v>25</v>
      </c>
      <c r="F29" t="s">
        <v>63</v>
      </c>
      <c r="G29" t="s">
        <v>64</v>
      </c>
      <c r="H29" t="s">
        <v>65</v>
      </c>
      <c r="I29" t="s">
        <v>66</v>
      </c>
      <c r="J29" s="3">
        <v>25000</v>
      </c>
      <c r="K29" s="38" t="s">
        <v>172</v>
      </c>
      <c r="L29" s="5">
        <f>(Limpopo_poultry_hatchery_production_RAW3[[#This Row],[Eggs_Fertile]]/Limpopo_poultry_hatchery_production_RAW3[[#This Row],[Eggs_Set]])*100</f>
        <v>93</v>
      </c>
      <c r="M29" s="9">
        <v>21200</v>
      </c>
      <c r="N29" s="3">
        <f>(Limpopo_poultry_hatchery_production_RAW3[[#This Row],[Eggs_Hatched]]/Limpopo_poultry_hatchery_production_RAW3[[#This Row],[Eggs_Fertile]])*100</f>
        <v>91.182795698924735</v>
      </c>
      <c r="O29" s="3">
        <v>20700</v>
      </c>
      <c r="P29" s="3">
        <v>385</v>
      </c>
      <c r="Q29" s="3">
        <v>115</v>
      </c>
      <c r="R29" s="3">
        <f>(Limpopo_poultry_hatchery_production_RAW3[[#This Row],[Chicks_Culled]]/Limpopo_poultry_hatchery_production_RAW3[[#This Row],[Eggs_Hatched]])*100</f>
        <v>0.54245283018867918</v>
      </c>
      <c r="S29" s="3">
        <v>10000</v>
      </c>
      <c r="T29" s="40" t="s">
        <v>69</v>
      </c>
      <c r="U29" s="4">
        <v>37.700000000000003</v>
      </c>
      <c r="V29">
        <v>56</v>
      </c>
      <c r="W29" s="4">
        <v>20</v>
      </c>
      <c r="X29" t="s">
        <v>37</v>
      </c>
      <c r="Y29">
        <f>IF(Limpopo_poultry_hatchery_production_RAW3[[#This Row],[Biosecurity_Check]]="Pass",0,1)</f>
        <v>0</v>
      </c>
      <c r="Z29" t="str">
        <f>IF(Limpopo_poultry_hatchery_production_RAW3[[#This Row],[Hatchability_Pct]]&lt;91, "⚠ Low Hatchability","√ OK")</f>
        <v>√ OK</v>
      </c>
      <c r="AA29">
        <f>IF(Limpopo_poultry_hatchery_production_RAW3[[#This Row],[QC Flag]]="√ OK", 0, 1)</f>
        <v>0</v>
      </c>
      <c r="AC29" t="s">
        <v>39</v>
      </c>
    </row>
    <row r="30" spans="1:29" x14ac:dyDescent="0.25">
      <c r="A30" s="2">
        <v>44596</v>
      </c>
      <c r="B30" s="2" t="str">
        <f>TEXT(Limpopo_poultry_hatchery_production_RAW3[[#This Row],[Week_Ending]], "mmm")</f>
        <v>Feb</v>
      </c>
      <c r="C30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30" t="s">
        <v>73</v>
      </c>
      <c r="E30" t="s">
        <v>74</v>
      </c>
      <c r="F30" t="s">
        <v>75</v>
      </c>
      <c r="G30" t="s">
        <v>76</v>
      </c>
      <c r="H30" t="s">
        <v>77</v>
      </c>
      <c r="I30" t="s">
        <v>29</v>
      </c>
      <c r="J30" s="3">
        <v>12000</v>
      </c>
      <c r="K30" s="38" t="s">
        <v>176</v>
      </c>
      <c r="L30" s="5">
        <f>(Limpopo_poultry_hatchery_production_RAW3[[#This Row],[Eggs_Fertile]]/Limpopo_poultry_hatchery_production_RAW3[[#This Row],[Eggs_Set]])*100</f>
        <v>93</v>
      </c>
      <c r="M30" s="9">
        <v>10200</v>
      </c>
      <c r="N30" s="3">
        <f>(Limpopo_poultry_hatchery_production_RAW3[[#This Row],[Eggs_Hatched]]/Limpopo_poultry_hatchery_production_RAW3[[#This Row],[Eggs_Fertile]])*100</f>
        <v>91.397849462365585</v>
      </c>
      <c r="O30" s="3">
        <v>10000</v>
      </c>
      <c r="P30" s="3">
        <v>168</v>
      </c>
      <c r="Q30" s="3">
        <v>32</v>
      </c>
      <c r="R30" s="3">
        <f>(Limpopo_poultry_hatchery_production_RAW3[[#This Row],[Chicks_Culled]]/Limpopo_poultry_hatchery_production_RAW3[[#This Row],[Eggs_Hatched]])*100</f>
        <v>0.31372549019607843</v>
      </c>
      <c r="S30" s="3">
        <v>4800</v>
      </c>
      <c r="T30" s="40" t="s">
        <v>81</v>
      </c>
      <c r="U30" s="4">
        <v>37.700000000000003</v>
      </c>
      <c r="V30">
        <v>57</v>
      </c>
      <c r="W30" s="4">
        <v>8</v>
      </c>
      <c r="X30" t="s">
        <v>37</v>
      </c>
      <c r="Y30">
        <f>IF(Limpopo_poultry_hatchery_production_RAW3[[#This Row],[Biosecurity_Check]]="Pass",0,1)</f>
        <v>0</v>
      </c>
      <c r="Z30" t="str">
        <f>IF(Limpopo_poultry_hatchery_production_RAW3[[#This Row],[Hatchability_Pct]]&lt;91, "⚠ Low Hatchability","√ OK")</f>
        <v>√ OK</v>
      </c>
      <c r="AA30">
        <f>IF(Limpopo_poultry_hatchery_production_RAW3[[#This Row],[QC Flag]]="√ OK", 0, 1)</f>
        <v>0</v>
      </c>
      <c r="AC30" t="s">
        <v>39</v>
      </c>
    </row>
    <row r="31" spans="1:29" x14ac:dyDescent="0.25">
      <c r="A31" s="2">
        <v>44596</v>
      </c>
      <c r="B31" s="2" t="str">
        <f>TEXT(Limpopo_poultry_hatchery_production_RAW3[[#This Row],[Week_Ending]], "mmm")</f>
        <v>Feb</v>
      </c>
      <c r="C31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31" t="s">
        <v>85</v>
      </c>
      <c r="E31" t="s">
        <v>25</v>
      </c>
      <c r="F31" t="s">
        <v>75</v>
      </c>
      <c r="G31" t="s">
        <v>86</v>
      </c>
      <c r="H31" t="s">
        <v>87</v>
      </c>
      <c r="I31" t="s">
        <v>66</v>
      </c>
      <c r="J31" s="3">
        <v>19000</v>
      </c>
      <c r="K31" s="38" t="s">
        <v>178</v>
      </c>
      <c r="L31" s="5">
        <f>(Limpopo_poultry_hatchery_production_RAW3[[#This Row],[Eggs_Fertile]]/Limpopo_poultry_hatchery_production_RAW3[[#This Row],[Eggs_Set]])*100</f>
        <v>91</v>
      </c>
      <c r="M31" s="9">
        <v>15800</v>
      </c>
      <c r="N31" s="3">
        <f>(Limpopo_poultry_hatchery_production_RAW3[[#This Row],[Eggs_Hatched]]/Limpopo_poultry_hatchery_production_RAW3[[#This Row],[Eggs_Fertile]])*100</f>
        <v>91.382301908617706</v>
      </c>
      <c r="O31" s="3">
        <v>15400</v>
      </c>
      <c r="P31" s="3">
        <v>295</v>
      </c>
      <c r="Q31" s="3">
        <v>105</v>
      </c>
      <c r="R31" s="3">
        <f>(Limpopo_poultry_hatchery_production_RAW3[[#This Row],[Chicks_Culled]]/Limpopo_poultry_hatchery_production_RAW3[[#This Row],[Eggs_Hatched]])*100</f>
        <v>0.66455696202531644</v>
      </c>
      <c r="S31" s="3">
        <v>7600</v>
      </c>
      <c r="T31" s="40" t="s">
        <v>91</v>
      </c>
      <c r="U31" s="4">
        <v>37.9</v>
      </c>
      <c r="V31">
        <v>55</v>
      </c>
      <c r="W31" s="4">
        <v>15</v>
      </c>
      <c r="X31" t="s">
        <v>37</v>
      </c>
      <c r="Y31">
        <f>IF(Limpopo_poultry_hatchery_production_RAW3[[#This Row],[Biosecurity_Check]]="Pass",0,1)</f>
        <v>0</v>
      </c>
      <c r="Z31" t="str">
        <f>IF(Limpopo_poultry_hatchery_production_RAW3[[#This Row],[Hatchability_Pct]]&lt;91, "⚠ Low Hatchability","√ OK")</f>
        <v>√ OK</v>
      </c>
      <c r="AA31">
        <f>IF(Limpopo_poultry_hatchery_production_RAW3[[#This Row],[QC Flag]]="√ OK", 0, 1)</f>
        <v>0</v>
      </c>
      <c r="AC31" t="s">
        <v>39</v>
      </c>
    </row>
    <row r="32" spans="1:29" x14ac:dyDescent="0.25">
      <c r="A32" s="2">
        <v>44603</v>
      </c>
      <c r="B32" s="2" t="str">
        <f>TEXT(Limpopo_poultry_hatchery_production_RAW3[[#This Row],[Week_Ending]], "mmm")</f>
        <v>Feb</v>
      </c>
      <c r="C32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32" t="s">
        <v>24</v>
      </c>
      <c r="E32" t="s">
        <v>25</v>
      </c>
      <c r="F32" t="s">
        <v>26</v>
      </c>
      <c r="G32" t="s">
        <v>27</v>
      </c>
      <c r="H32" t="s">
        <v>28</v>
      </c>
      <c r="I32" t="s">
        <v>29</v>
      </c>
      <c r="J32" s="3">
        <v>22000</v>
      </c>
      <c r="K32" s="38" t="s">
        <v>30</v>
      </c>
      <c r="L32" s="5">
        <f>(Limpopo_poultry_hatchery_production_RAW3[[#This Row],[Eggs_Fertile]]/Limpopo_poultry_hatchery_production_RAW3[[#This Row],[Eggs_Set]])*100</f>
        <v>95</v>
      </c>
      <c r="M32" s="9">
        <v>19100</v>
      </c>
      <c r="N32" s="3">
        <f>(Limpopo_poultry_hatchery_production_RAW3[[#This Row],[Eggs_Hatched]]/Limpopo_poultry_hatchery_production_RAW3[[#This Row],[Eggs_Fertile]])*100</f>
        <v>91.387559808612437</v>
      </c>
      <c r="O32" s="3">
        <v>18700</v>
      </c>
      <c r="P32" s="3">
        <v>305</v>
      </c>
      <c r="Q32" s="3">
        <v>95</v>
      </c>
      <c r="R32" s="3">
        <f>(Limpopo_poultry_hatchery_production_RAW3[[#This Row],[Chicks_Culled]]/Limpopo_poultry_hatchery_production_RAW3[[#This Row],[Eggs_Hatched]])*100</f>
        <v>0.49738219895287955</v>
      </c>
      <c r="S32" s="3">
        <v>8800</v>
      </c>
      <c r="T32" s="40" t="s">
        <v>34</v>
      </c>
      <c r="U32" s="4">
        <v>37.6</v>
      </c>
      <c r="V32">
        <v>58</v>
      </c>
      <c r="W32" s="4">
        <v>11</v>
      </c>
      <c r="X32" t="s">
        <v>37</v>
      </c>
      <c r="Y32">
        <f>IF(Limpopo_poultry_hatchery_production_RAW3[[#This Row],[Biosecurity_Check]]="Pass",0,1)</f>
        <v>0</v>
      </c>
      <c r="Z32" t="str">
        <f>IF(Limpopo_poultry_hatchery_production_RAW3[[#This Row],[Hatchability_Pct]]&lt;91, "⚠ Low Hatchability","√ OK")</f>
        <v>√ OK</v>
      </c>
      <c r="AA32">
        <f>IF(Limpopo_poultry_hatchery_production_RAW3[[#This Row],[QC Flag]]="√ OK", 0, 1)</f>
        <v>0</v>
      </c>
      <c r="AC32" t="s">
        <v>39</v>
      </c>
    </row>
    <row r="33" spans="1:29" x14ac:dyDescent="0.25">
      <c r="A33" s="2">
        <v>44603</v>
      </c>
      <c r="B33" s="2" t="str">
        <f>TEXT(Limpopo_poultry_hatchery_production_RAW3[[#This Row],[Week_Ending]], "mmm")</f>
        <v>Feb</v>
      </c>
      <c r="C33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33" t="s">
        <v>40</v>
      </c>
      <c r="E33" t="s">
        <v>25</v>
      </c>
      <c r="F33" t="s">
        <v>26</v>
      </c>
      <c r="G33" t="s">
        <v>41</v>
      </c>
      <c r="H33" t="s">
        <v>42</v>
      </c>
      <c r="I33" t="s">
        <v>29</v>
      </c>
      <c r="J33" s="3">
        <v>18500</v>
      </c>
      <c r="K33" s="38" t="s">
        <v>43</v>
      </c>
      <c r="L33" s="5">
        <f>(Limpopo_poultry_hatchery_production_RAW3[[#This Row],[Eggs_Fertile]]/Limpopo_poultry_hatchery_production_RAW3[[#This Row],[Eggs_Set]])*100</f>
        <v>94</v>
      </c>
      <c r="M33" s="9">
        <v>15800</v>
      </c>
      <c r="N33" s="3">
        <f>(Limpopo_poultry_hatchery_production_RAW3[[#This Row],[Eggs_Hatched]]/Limpopo_poultry_hatchery_production_RAW3[[#This Row],[Eggs_Fertile]])*100</f>
        <v>90.856814261069587</v>
      </c>
      <c r="O33" s="3">
        <v>15400</v>
      </c>
      <c r="P33" s="3">
        <v>295</v>
      </c>
      <c r="Q33" s="3">
        <v>105</v>
      </c>
      <c r="R33" s="3">
        <f>(Limpopo_poultry_hatchery_production_RAW3[[#This Row],[Chicks_Culled]]/Limpopo_poultry_hatchery_production_RAW3[[#This Row],[Eggs_Hatched]])*100</f>
        <v>0.66455696202531644</v>
      </c>
      <c r="S33" s="3">
        <v>7400</v>
      </c>
      <c r="T33" s="40" t="s">
        <v>47</v>
      </c>
      <c r="U33" s="4">
        <v>37.6</v>
      </c>
      <c r="V33">
        <v>58</v>
      </c>
      <c r="W33" s="4">
        <v>10</v>
      </c>
      <c r="X33" t="s">
        <v>37</v>
      </c>
      <c r="Y33">
        <f>IF(Limpopo_poultry_hatchery_production_RAW3[[#This Row],[Biosecurity_Check]]="Pass",0,1)</f>
        <v>0</v>
      </c>
      <c r="Z33" t="str">
        <f>IF(Limpopo_poultry_hatchery_production_RAW3[[#This Row],[Hatchability_Pct]]&lt;91, "⚠ Low Hatchability","√ OK")</f>
        <v>⚠ Low Hatchability</v>
      </c>
      <c r="AA33">
        <f>IF(Limpopo_poultry_hatchery_production_RAW3[[#This Row],[QC Flag]]="√ OK", 0, 1)</f>
        <v>1</v>
      </c>
      <c r="AC33" t="s">
        <v>39</v>
      </c>
    </row>
    <row r="34" spans="1:29" x14ac:dyDescent="0.25">
      <c r="A34" s="2">
        <v>44603</v>
      </c>
      <c r="B34" s="2" t="str">
        <f>TEXT(Limpopo_poultry_hatchery_production_RAW3[[#This Row],[Week_Ending]], "mmm")</f>
        <v>Feb</v>
      </c>
      <c r="C34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34" t="s">
        <v>50</v>
      </c>
      <c r="E34" t="s">
        <v>51</v>
      </c>
      <c r="F34" t="s">
        <v>26</v>
      </c>
      <c r="G34" t="s">
        <v>52</v>
      </c>
      <c r="H34" t="s">
        <v>53</v>
      </c>
      <c r="I34" t="s">
        <v>54</v>
      </c>
      <c r="J34" s="3">
        <v>15000</v>
      </c>
      <c r="K34" s="38" t="s">
        <v>55</v>
      </c>
      <c r="L34" s="5">
        <f>(Limpopo_poultry_hatchery_production_RAW3[[#This Row],[Eggs_Fertile]]/Limpopo_poultry_hatchery_production_RAW3[[#This Row],[Eggs_Set]])*100</f>
        <v>94</v>
      </c>
      <c r="M34" s="9">
        <v>12750</v>
      </c>
      <c r="N34" s="3">
        <f>(Limpopo_poultry_hatchery_production_RAW3[[#This Row],[Eggs_Hatched]]/Limpopo_poultry_hatchery_production_RAW3[[#This Row],[Eggs_Fertile]])*100</f>
        <v>90.425531914893625</v>
      </c>
      <c r="O34" s="3">
        <v>12550</v>
      </c>
      <c r="P34" s="3">
        <v>172</v>
      </c>
      <c r="Q34" s="3">
        <v>28</v>
      </c>
      <c r="R34" s="3">
        <f>(Limpopo_poultry_hatchery_production_RAW3[[#This Row],[Chicks_Culled]]/Limpopo_poultry_hatchery_production_RAW3[[#This Row],[Eggs_Hatched]])*100</f>
        <v>0.2196078431372549</v>
      </c>
      <c r="S34" s="3">
        <v>6000</v>
      </c>
      <c r="T34" s="40" t="s">
        <v>58</v>
      </c>
      <c r="U34" s="4">
        <v>37.6</v>
      </c>
      <c r="V34">
        <v>58</v>
      </c>
      <c r="W34" s="4">
        <v>6</v>
      </c>
      <c r="X34" t="s">
        <v>37</v>
      </c>
      <c r="Y34">
        <f>IF(Limpopo_poultry_hatchery_production_RAW3[[#This Row],[Biosecurity_Check]]="Pass",0,1)</f>
        <v>0</v>
      </c>
      <c r="Z34" t="str">
        <f>IF(Limpopo_poultry_hatchery_production_RAW3[[#This Row],[Hatchability_Pct]]&lt;91, "⚠ Low Hatchability","√ OK")</f>
        <v>⚠ Low Hatchability</v>
      </c>
      <c r="AA34">
        <f>IF(Limpopo_poultry_hatchery_production_RAW3[[#This Row],[QC Flag]]="√ OK", 0, 1)</f>
        <v>1</v>
      </c>
      <c r="AC34" t="s">
        <v>39</v>
      </c>
    </row>
    <row r="35" spans="1:29" x14ac:dyDescent="0.25">
      <c r="A35" s="2">
        <v>44603</v>
      </c>
      <c r="B35" s="2" t="str">
        <f>TEXT(Limpopo_poultry_hatchery_production_RAW3[[#This Row],[Week_Ending]], "mmm")</f>
        <v>Feb</v>
      </c>
      <c r="C35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35" t="s">
        <v>62</v>
      </c>
      <c r="E35" t="s">
        <v>25</v>
      </c>
      <c r="F35" t="s">
        <v>63</v>
      </c>
      <c r="G35" t="s">
        <v>64</v>
      </c>
      <c r="H35" t="s">
        <v>65</v>
      </c>
      <c r="I35" t="s">
        <v>66</v>
      </c>
      <c r="J35" s="3">
        <v>25000</v>
      </c>
      <c r="K35" s="38" t="s">
        <v>67</v>
      </c>
      <c r="L35" s="5">
        <f>(Limpopo_poultry_hatchery_production_RAW3[[#This Row],[Eggs_Fertile]]/Limpopo_poultry_hatchery_production_RAW3[[#This Row],[Eggs_Set]])*100</f>
        <v>94</v>
      </c>
      <c r="M35" s="9">
        <v>21600</v>
      </c>
      <c r="N35" s="3">
        <f>(Limpopo_poultry_hatchery_production_RAW3[[#This Row],[Eggs_Hatched]]/Limpopo_poultry_hatchery_production_RAW3[[#This Row],[Eggs_Fertile]])*100</f>
        <v>91.914893617021278</v>
      </c>
      <c r="O35" s="3">
        <v>21100</v>
      </c>
      <c r="P35" s="3">
        <v>375</v>
      </c>
      <c r="Q35" s="3">
        <v>125</v>
      </c>
      <c r="R35" s="3">
        <f>(Limpopo_poultry_hatchery_production_RAW3[[#This Row],[Chicks_Culled]]/Limpopo_poultry_hatchery_production_RAW3[[#This Row],[Eggs_Hatched]])*100</f>
        <v>0.57870370370370372</v>
      </c>
      <c r="S35" s="3">
        <v>10000</v>
      </c>
      <c r="T35" s="40" t="s">
        <v>69</v>
      </c>
      <c r="U35" s="4">
        <v>37.6</v>
      </c>
      <c r="V35">
        <v>58</v>
      </c>
      <c r="W35" s="4">
        <v>14</v>
      </c>
      <c r="X35" t="s">
        <v>37</v>
      </c>
      <c r="Y35">
        <f>IF(Limpopo_poultry_hatchery_production_RAW3[[#This Row],[Biosecurity_Check]]="Pass",0,1)</f>
        <v>0</v>
      </c>
      <c r="Z35" t="str">
        <f>IF(Limpopo_poultry_hatchery_production_RAW3[[#This Row],[Hatchability_Pct]]&lt;91, "⚠ Low Hatchability","√ OK")</f>
        <v>√ OK</v>
      </c>
      <c r="AA35">
        <f>IF(Limpopo_poultry_hatchery_production_RAW3[[#This Row],[QC Flag]]="√ OK", 0, 1)</f>
        <v>0</v>
      </c>
      <c r="AC35" t="s">
        <v>39</v>
      </c>
    </row>
    <row r="36" spans="1:29" x14ac:dyDescent="0.25">
      <c r="A36" s="2">
        <v>44603</v>
      </c>
      <c r="B36" s="2" t="str">
        <f>TEXT(Limpopo_poultry_hatchery_production_RAW3[[#This Row],[Week_Ending]], "mmm")</f>
        <v>Feb</v>
      </c>
      <c r="C36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36" t="s">
        <v>73</v>
      </c>
      <c r="E36" t="s">
        <v>74</v>
      </c>
      <c r="F36" t="s">
        <v>75</v>
      </c>
      <c r="G36" t="s">
        <v>76</v>
      </c>
      <c r="H36" t="s">
        <v>77</v>
      </c>
      <c r="I36" t="s">
        <v>29</v>
      </c>
      <c r="J36" s="3">
        <v>12000</v>
      </c>
      <c r="K36" s="38" t="s">
        <v>78</v>
      </c>
      <c r="L36" s="5">
        <f>(Limpopo_poultry_hatchery_production_RAW3[[#This Row],[Eggs_Fertile]]/Limpopo_poultry_hatchery_production_RAW3[[#This Row],[Eggs_Set]])*100</f>
        <v>95</v>
      </c>
      <c r="M36" s="9">
        <v>10500</v>
      </c>
      <c r="N36" s="3">
        <f>(Limpopo_poultry_hatchery_production_RAW3[[#This Row],[Eggs_Hatched]]/Limpopo_poultry_hatchery_production_RAW3[[#This Row],[Eggs_Fertile]])*100</f>
        <v>92.10526315789474</v>
      </c>
      <c r="O36" s="3">
        <v>10300</v>
      </c>
      <c r="P36" s="3">
        <v>158</v>
      </c>
      <c r="Q36" s="3">
        <v>42</v>
      </c>
      <c r="R36" s="3">
        <f>(Limpopo_poultry_hatchery_production_RAW3[[#This Row],[Chicks_Culled]]/Limpopo_poultry_hatchery_production_RAW3[[#This Row],[Eggs_Hatched]])*100</f>
        <v>0.4</v>
      </c>
      <c r="S36" s="3">
        <v>4800</v>
      </c>
      <c r="T36" s="40" t="s">
        <v>81</v>
      </c>
      <c r="U36" s="4">
        <v>37.5</v>
      </c>
      <c r="V36">
        <v>58</v>
      </c>
      <c r="W36" s="4">
        <v>4</v>
      </c>
      <c r="X36" t="s">
        <v>37</v>
      </c>
      <c r="Y36">
        <f>IF(Limpopo_poultry_hatchery_production_RAW3[[#This Row],[Biosecurity_Check]]="Pass",0,1)</f>
        <v>0</v>
      </c>
      <c r="Z36" t="str">
        <f>IF(Limpopo_poultry_hatchery_production_RAW3[[#This Row],[Hatchability_Pct]]&lt;91, "⚠ Low Hatchability","√ OK")</f>
        <v>√ OK</v>
      </c>
      <c r="AA36">
        <f>IF(Limpopo_poultry_hatchery_production_RAW3[[#This Row],[QC Flag]]="√ OK", 0, 1)</f>
        <v>0</v>
      </c>
      <c r="AC36" t="s">
        <v>39</v>
      </c>
    </row>
    <row r="37" spans="1:29" x14ac:dyDescent="0.25">
      <c r="A37" s="2">
        <v>44603</v>
      </c>
      <c r="B37" s="2" t="str">
        <f>TEXT(Limpopo_poultry_hatchery_production_RAW3[[#This Row],[Week_Ending]], "mmm")</f>
        <v>Feb</v>
      </c>
      <c r="C37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37" t="s">
        <v>85</v>
      </c>
      <c r="E37" t="s">
        <v>25</v>
      </c>
      <c r="F37" t="s">
        <v>75</v>
      </c>
      <c r="G37" t="s">
        <v>86</v>
      </c>
      <c r="H37" t="s">
        <v>87</v>
      </c>
      <c r="I37" t="s">
        <v>66</v>
      </c>
      <c r="J37" s="3">
        <v>19000</v>
      </c>
      <c r="K37" s="38" t="s">
        <v>88</v>
      </c>
      <c r="L37" s="5">
        <f>(Limpopo_poultry_hatchery_production_RAW3[[#This Row],[Eggs_Fertile]]/Limpopo_poultry_hatchery_production_RAW3[[#This Row],[Eggs_Set]])*100</f>
        <v>94</v>
      </c>
      <c r="M37" s="9">
        <v>16300</v>
      </c>
      <c r="N37" s="3">
        <f>(Limpopo_poultry_hatchery_production_RAW3[[#This Row],[Eggs_Hatched]]/Limpopo_poultry_hatchery_production_RAW3[[#This Row],[Eggs_Fertile]])*100</f>
        <v>91.265397536394175</v>
      </c>
      <c r="O37" s="3">
        <v>15900</v>
      </c>
      <c r="P37" s="3">
        <v>298</v>
      </c>
      <c r="Q37" s="3">
        <v>102</v>
      </c>
      <c r="R37" s="3">
        <f>(Limpopo_poultry_hatchery_production_RAW3[[#This Row],[Chicks_Culled]]/Limpopo_poultry_hatchery_production_RAW3[[#This Row],[Eggs_Hatched]])*100</f>
        <v>0.62576687116564411</v>
      </c>
      <c r="S37" s="3">
        <v>7600</v>
      </c>
      <c r="T37" s="40" t="s">
        <v>91</v>
      </c>
      <c r="U37" s="4">
        <v>37.700000000000003</v>
      </c>
      <c r="V37">
        <v>57</v>
      </c>
      <c r="W37" s="4">
        <v>9</v>
      </c>
      <c r="X37" t="s">
        <v>37</v>
      </c>
      <c r="Y37">
        <f>IF(Limpopo_poultry_hatchery_production_RAW3[[#This Row],[Biosecurity_Check]]="Pass",0,1)</f>
        <v>0</v>
      </c>
      <c r="Z37" t="str">
        <f>IF(Limpopo_poultry_hatchery_production_RAW3[[#This Row],[Hatchability_Pct]]&lt;91, "⚠ Low Hatchability","√ OK")</f>
        <v>√ OK</v>
      </c>
      <c r="AA37">
        <f>IF(Limpopo_poultry_hatchery_production_RAW3[[#This Row],[QC Flag]]="√ OK", 0, 1)</f>
        <v>0</v>
      </c>
      <c r="AC37" t="s">
        <v>39</v>
      </c>
    </row>
    <row r="38" spans="1:29" x14ac:dyDescent="0.25">
      <c r="A38" s="2">
        <v>44610</v>
      </c>
      <c r="B38" s="2" t="str">
        <f>TEXT(Limpopo_poultry_hatchery_production_RAW3[[#This Row],[Week_Ending]], "mmm")</f>
        <v>Feb</v>
      </c>
      <c r="C38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38" t="s">
        <v>24</v>
      </c>
      <c r="E38" t="s">
        <v>25</v>
      </c>
      <c r="F38" t="s">
        <v>26</v>
      </c>
      <c r="G38" t="s">
        <v>27</v>
      </c>
      <c r="H38" t="s">
        <v>28</v>
      </c>
      <c r="I38" t="s">
        <v>29</v>
      </c>
      <c r="J38" s="3">
        <v>22000</v>
      </c>
      <c r="K38" s="38" t="s">
        <v>94</v>
      </c>
      <c r="L38" s="5">
        <f>(Limpopo_poultry_hatchery_production_RAW3[[#This Row],[Eggs_Fertile]]/Limpopo_poultry_hatchery_production_RAW3[[#This Row],[Eggs_Set]])*100</f>
        <v>96</v>
      </c>
      <c r="M38" s="9">
        <v>19400</v>
      </c>
      <c r="N38" s="3">
        <f>(Limpopo_poultry_hatchery_production_RAW3[[#This Row],[Eggs_Hatched]]/Limpopo_poultry_hatchery_production_RAW3[[#This Row],[Eggs_Fertile]])*100</f>
        <v>91.856060606060609</v>
      </c>
      <c r="O38" s="3">
        <v>19000</v>
      </c>
      <c r="P38" s="3">
        <v>295</v>
      </c>
      <c r="Q38" s="3">
        <v>105</v>
      </c>
      <c r="R38" s="3">
        <f>(Limpopo_poultry_hatchery_production_RAW3[[#This Row],[Chicks_Culled]]/Limpopo_poultry_hatchery_production_RAW3[[#This Row],[Eggs_Hatched]])*100</f>
        <v>0.54123711340206182</v>
      </c>
      <c r="S38" s="3">
        <v>8800</v>
      </c>
      <c r="T38" s="40" t="s">
        <v>34</v>
      </c>
      <c r="U38" s="4">
        <v>37.5</v>
      </c>
      <c r="V38">
        <v>59</v>
      </c>
      <c r="W38" s="4">
        <v>8</v>
      </c>
      <c r="X38" t="s">
        <v>37</v>
      </c>
      <c r="Y38">
        <f>IF(Limpopo_poultry_hatchery_production_RAW3[[#This Row],[Biosecurity_Check]]="Pass",0,1)</f>
        <v>0</v>
      </c>
      <c r="Z38" t="str">
        <f>IF(Limpopo_poultry_hatchery_production_RAW3[[#This Row],[Hatchability_Pct]]&lt;91, "⚠ Low Hatchability","√ OK")</f>
        <v>√ OK</v>
      </c>
      <c r="AA38">
        <f>IF(Limpopo_poultry_hatchery_production_RAW3[[#This Row],[QC Flag]]="√ OK", 0, 1)</f>
        <v>0</v>
      </c>
      <c r="AB38" t="s">
        <v>185</v>
      </c>
      <c r="AC38" t="s">
        <v>186</v>
      </c>
    </row>
    <row r="39" spans="1:29" x14ac:dyDescent="0.25">
      <c r="A39" s="2">
        <v>44610</v>
      </c>
      <c r="B39" s="2" t="str">
        <f>TEXT(Limpopo_poultry_hatchery_production_RAW3[[#This Row],[Week_Ending]], "mmm")</f>
        <v>Feb</v>
      </c>
      <c r="C39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39" t="s">
        <v>40</v>
      </c>
      <c r="E39" t="s">
        <v>25</v>
      </c>
      <c r="F39" t="s">
        <v>26</v>
      </c>
      <c r="G39" t="s">
        <v>41</v>
      </c>
      <c r="H39" t="s">
        <v>42</v>
      </c>
      <c r="I39" t="s">
        <v>29</v>
      </c>
      <c r="J39" s="3">
        <v>18500</v>
      </c>
      <c r="K39" s="38" t="s">
        <v>187</v>
      </c>
      <c r="L39" s="5">
        <f>(Limpopo_poultry_hatchery_production_RAW3[[#This Row],[Eggs_Fertile]]/Limpopo_poultry_hatchery_production_RAW3[[#This Row],[Eggs_Set]])*100</f>
        <v>95</v>
      </c>
      <c r="M39" s="9">
        <v>16000</v>
      </c>
      <c r="N39" s="3">
        <f>(Limpopo_poultry_hatchery_production_RAW3[[#This Row],[Eggs_Hatched]]/Limpopo_poultry_hatchery_production_RAW3[[#This Row],[Eggs_Fertile]])*100</f>
        <v>91.038406827880507</v>
      </c>
      <c r="O39" s="3">
        <v>15600</v>
      </c>
      <c r="P39" s="3">
        <v>300</v>
      </c>
      <c r="Q39" s="3">
        <v>100</v>
      </c>
      <c r="R39" s="3">
        <f>(Limpopo_poultry_hatchery_production_RAW3[[#This Row],[Chicks_Culled]]/Limpopo_poultry_hatchery_production_RAW3[[#This Row],[Eggs_Hatched]])*100</f>
        <v>0.625</v>
      </c>
      <c r="S39" s="3">
        <v>7400</v>
      </c>
      <c r="T39" s="40" t="s">
        <v>47</v>
      </c>
      <c r="U39" s="4">
        <v>37.6</v>
      </c>
      <c r="V39">
        <v>58</v>
      </c>
      <c r="W39" s="4">
        <v>9</v>
      </c>
      <c r="X39" t="s">
        <v>37</v>
      </c>
      <c r="Y39">
        <f>IF(Limpopo_poultry_hatchery_production_RAW3[[#This Row],[Biosecurity_Check]]="Pass",0,1)</f>
        <v>0</v>
      </c>
      <c r="Z39" t="str">
        <f>IF(Limpopo_poultry_hatchery_production_RAW3[[#This Row],[Hatchability_Pct]]&lt;91, "⚠ Low Hatchability","√ OK")</f>
        <v>√ OK</v>
      </c>
      <c r="AA39">
        <f>IF(Limpopo_poultry_hatchery_production_RAW3[[#This Row],[QC Flag]]="√ OK", 0, 1)</f>
        <v>0</v>
      </c>
      <c r="AB39" t="s">
        <v>185</v>
      </c>
      <c r="AC39" t="s">
        <v>39</v>
      </c>
    </row>
    <row r="40" spans="1:29" x14ac:dyDescent="0.25">
      <c r="A40" s="2">
        <v>44610</v>
      </c>
      <c r="B40" s="2" t="str">
        <f>TEXT(Limpopo_poultry_hatchery_production_RAW3[[#This Row],[Week_Ending]], "mmm")</f>
        <v>Feb</v>
      </c>
      <c r="C40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40" t="s">
        <v>50</v>
      </c>
      <c r="E40" t="s">
        <v>51</v>
      </c>
      <c r="F40" t="s">
        <v>26</v>
      </c>
      <c r="G40" t="s">
        <v>52</v>
      </c>
      <c r="H40" t="s">
        <v>53</v>
      </c>
      <c r="I40" t="s">
        <v>54</v>
      </c>
      <c r="J40" s="3">
        <v>15000</v>
      </c>
      <c r="K40" s="38" t="s">
        <v>103</v>
      </c>
      <c r="L40" s="5">
        <f>(Limpopo_poultry_hatchery_production_RAW3[[#This Row],[Eggs_Fertile]]/Limpopo_poultry_hatchery_production_RAW3[[#This Row],[Eggs_Set]])*100</f>
        <v>95</v>
      </c>
      <c r="M40" s="9">
        <v>12900</v>
      </c>
      <c r="N40" s="3">
        <f>(Limpopo_poultry_hatchery_production_RAW3[[#This Row],[Eggs_Hatched]]/Limpopo_poultry_hatchery_production_RAW3[[#This Row],[Eggs_Fertile]])*100</f>
        <v>90.526315789473685</v>
      </c>
      <c r="O40" s="3">
        <v>12700</v>
      </c>
      <c r="P40" s="3">
        <v>168</v>
      </c>
      <c r="Q40" s="3">
        <v>32</v>
      </c>
      <c r="R40" s="3">
        <f>(Limpopo_poultry_hatchery_production_RAW3[[#This Row],[Chicks_Culled]]/Limpopo_poultry_hatchery_production_RAW3[[#This Row],[Eggs_Hatched]])*100</f>
        <v>0.24806201550387599</v>
      </c>
      <c r="S40" s="3">
        <v>6000</v>
      </c>
      <c r="T40" s="40" t="s">
        <v>58</v>
      </c>
      <c r="U40" s="4">
        <v>37.5</v>
      </c>
      <c r="V40">
        <v>59</v>
      </c>
      <c r="W40" s="4">
        <v>5</v>
      </c>
      <c r="X40" t="s">
        <v>37</v>
      </c>
      <c r="Y40">
        <f>IF(Limpopo_poultry_hatchery_production_RAW3[[#This Row],[Biosecurity_Check]]="Pass",0,1)</f>
        <v>0</v>
      </c>
      <c r="Z40" t="str">
        <f>IF(Limpopo_poultry_hatchery_production_RAW3[[#This Row],[Hatchability_Pct]]&lt;91, "⚠ Low Hatchability","√ OK")</f>
        <v>⚠ Low Hatchability</v>
      </c>
      <c r="AA40">
        <f>IF(Limpopo_poultry_hatchery_production_RAW3[[#This Row],[QC Flag]]="√ OK", 0, 1)</f>
        <v>1</v>
      </c>
      <c r="AB40" t="s">
        <v>191</v>
      </c>
      <c r="AC40" t="s">
        <v>39</v>
      </c>
    </row>
    <row r="41" spans="1:29" x14ac:dyDescent="0.25">
      <c r="A41" s="2">
        <v>44610</v>
      </c>
      <c r="B41" s="2" t="str">
        <f>TEXT(Limpopo_poultry_hatchery_production_RAW3[[#This Row],[Week_Ending]], "mmm")</f>
        <v>Feb</v>
      </c>
      <c r="C41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41" t="s">
        <v>62</v>
      </c>
      <c r="E41" t="s">
        <v>25</v>
      </c>
      <c r="F41" t="s">
        <v>63</v>
      </c>
      <c r="G41" t="s">
        <v>64</v>
      </c>
      <c r="H41" t="s">
        <v>65</v>
      </c>
      <c r="I41" t="s">
        <v>66</v>
      </c>
      <c r="J41" s="3">
        <v>25000</v>
      </c>
      <c r="K41" s="38" t="s">
        <v>108</v>
      </c>
      <c r="L41" s="5">
        <f>(Limpopo_poultry_hatchery_production_RAW3[[#This Row],[Eggs_Fertile]]/Limpopo_poultry_hatchery_production_RAW3[[#This Row],[Eggs_Set]])*100</f>
        <v>95</v>
      </c>
      <c r="M41" s="9">
        <v>21800</v>
      </c>
      <c r="N41" s="3">
        <f>(Limpopo_poultry_hatchery_production_RAW3[[#This Row],[Eggs_Hatched]]/Limpopo_poultry_hatchery_production_RAW3[[#This Row],[Eggs_Fertile]])*100</f>
        <v>91.78947368421052</v>
      </c>
      <c r="O41" s="3">
        <v>21300</v>
      </c>
      <c r="P41" s="3">
        <v>365</v>
      </c>
      <c r="Q41" s="3">
        <v>135</v>
      </c>
      <c r="R41" s="3">
        <f>(Limpopo_poultry_hatchery_production_RAW3[[#This Row],[Chicks_Culled]]/Limpopo_poultry_hatchery_production_RAW3[[#This Row],[Eggs_Hatched]])*100</f>
        <v>0.61926605504587162</v>
      </c>
      <c r="S41" s="3">
        <v>10000</v>
      </c>
      <c r="T41" s="40" t="s">
        <v>69</v>
      </c>
      <c r="U41" s="4">
        <v>37.5</v>
      </c>
      <c r="V41">
        <v>58</v>
      </c>
      <c r="W41" s="4">
        <v>12</v>
      </c>
      <c r="X41" t="s">
        <v>37</v>
      </c>
      <c r="Y41">
        <f>IF(Limpopo_poultry_hatchery_production_RAW3[[#This Row],[Biosecurity_Check]]="Pass",0,1)</f>
        <v>0</v>
      </c>
      <c r="Z41" t="str">
        <f>IF(Limpopo_poultry_hatchery_production_RAW3[[#This Row],[Hatchability_Pct]]&lt;91, "⚠ Low Hatchability","√ OK")</f>
        <v>√ OK</v>
      </c>
      <c r="AA41">
        <f>IF(Limpopo_poultry_hatchery_production_RAW3[[#This Row],[QC Flag]]="√ OK", 0, 1)</f>
        <v>0</v>
      </c>
      <c r="AB41" t="s">
        <v>185</v>
      </c>
      <c r="AC41" t="s">
        <v>39</v>
      </c>
    </row>
    <row r="42" spans="1:29" x14ac:dyDescent="0.25">
      <c r="A42" s="2">
        <v>44610</v>
      </c>
      <c r="B42" s="2" t="str">
        <f>TEXT(Limpopo_poultry_hatchery_production_RAW3[[#This Row],[Week_Ending]], "mmm")</f>
        <v>Feb</v>
      </c>
      <c r="C42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42" t="s">
        <v>73</v>
      </c>
      <c r="E42" t="s">
        <v>74</v>
      </c>
      <c r="F42" t="s">
        <v>75</v>
      </c>
      <c r="G42" t="s">
        <v>76</v>
      </c>
      <c r="H42" t="s">
        <v>77</v>
      </c>
      <c r="I42" t="s">
        <v>29</v>
      </c>
      <c r="J42" s="3">
        <v>12000</v>
      </c>
      <c r="K42" s="38" t="s">
        <v>112</v>
      </c>
      <c r="L42" s="5">
        <f>(Limpopo_poultry_hatchery_production_RAW3[[#This Row],[Eggs_Fertile]]/Limpopo_poultry_hatchery_production_RAW3[[#This Row],[Eggs_Set]])*100</f>
        <v>96</v>
      </c>
      <c r="M42" s="9">
        <v>10600</v>
      </c>
      <c r="N42" s="3">
        <f>(Limpopo_poultry_hatchery_production_RAW3[[#This Row],[Eggs_Hatched]]/Limpopo_poultry_hatchery_production_RAW3[[#This Row],[Eggs_Fertile]])*100</f>
        <v>92.013888888888886</v>
      </c>
      <c r="O42" s="3">
        <v>10400</v>
      </c>
      <c r="P42" s="3">
        <v>155</v>
      </c>
      <c r="Q42" s="3">
        <v>45</v>
      </c>
      <c r="R42" s="3">
        <f>(Limpopo_poultry_hatchery_production_RAW3[[#This Row],[Chicks_Culled]]/Limpopo_poultry_hatchery_production_RAW3[[#This Row],[Eggs_Hatched]])*100</f>
        <v>0.42452830188679247</v>
      </c>
      <c r="S42" s="3">
        <v>4800</v>
      </c>
      <c r="T42" s="40" t="s">
        <v>81</v>
      </c>
      <c r="U42" s="4">
        <v>37.5</v>
      </c>
      <c r="V42">
        <v>59</v>
      </c>
      <c r="W42" s="4">
        <v>3</v>
      </c>
      <c r="X42" t="s">
        <v>37</v>
      </c>
      <c r="Y42">
        <f>IF(Limpopo_poultry_hatchery_production_RAW3[[#This Row],[Biosecurity_Check]]="Pass",0,1)</f>
        <v>0</v>
      </c>
      <c r="Z42" t="str">
        <f>IF(Limpopo_poultry_hatchery_production_RAW3[[#This Row],[Hatchability_Pct]]&lt;91, "⚠ Low Hatchability","√ OK")</f>
        <v>√ OK</v>
      </c>
      <c r="AA42">
        <f>IF(Limpopo_poultry_hatchery_production_RAW3[[#This Row],[QC Flag]]="√ OK", 0, 1)</f>
        <v>0</v>
      </c>
      <c r="AB42" t="s">
        <v>192</v>
      </c>
      <c r="AC42" t="s">
        <v>39</v>
      </c>
    </row>
    <row r="43" spans="1:29" x14ac:dyDescent="0.25">
      <c r="A43" s="2">
        <v>44610</v>
      </c>
      <c r="B43" s="2" t="str">
        <f>TEXT(Limpopo_poultry_hatchery_production_RAW3[[#This Row],[Week_Ending]], "mmm")</f>
        <v>Feb</v>
      </c>
      <c r="C43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43" t="s">
        <v>85</v>
      </c>
      <c r="E43" t="s">
        <v>25</v>
      </c>
      <c r="F43" t="s">
        <v>75</v>
      </c>
      <c r="G43" t="s">
        <v>86</v>
      </c>
      <c r="H43" t="s">
        <v>87</v>
      </c>
      <c r="I43" t="s">
        <v>66</v>
      </c>
      <c r="J43" s="3">
        <v>19000</v>
      </c>
      <c r="K43" s="38" t="s">
        <v>193</v>
      </c>
      <c r="L43" s="5">
        <f>(Limpopo_poultry_hatchery_production_RAW3[[#This Row],[Eggs_Fertile]]/Limpopo_poultry_hatchery_production_RAW3[[#This Row],[Eggs_Set]])*100</f>
        <v>95</v>
      </c>
      <c r="M43" s="9">
        <v>16600</v>
      </c>
      <c r="N43" s="3">
        <f>(Limpopo_poultry_hatchery_production_RAW3[[#This Row],[Eggs_Hatched]]/Limpopo_poultry_hatchery_production_RAW3[[#This Row],[Eggs_Fertile]])*100</f>
        <v>91.966759002770075</v>
      </c>
      <c r="O43" s="3">
        <v>16200</v>
      </c>
      <c r="P43" s="3">
        <v>288</v>
      </c>
      <c r="Q43" s="3">
        <v>112</v>
      </c>
      <c r="R43" s="3">
        <f>(Limpopo_poultry_hatchery_production_RAW3[[#This Row],[Chicks_Culled]]/Limpopo_poultry_hatchery_production_RAW3[[#This Row],[Eggs_Hatched]])*100</f>
        <v>0.67469879518072284</v>
      </c>
      <c r="S43" s="3">
        <v>7600</v>
      </c>
      <c r="T43" s="40" t="s">
        <v>91</v>
      </c>
      <c r="U43" s="4">
        <v>37.6</v>
      </c>
      <c r="V43">
        <v>58</v>
      </c>
      <c r="W43" s="4">
        <v>7</v>
      </c>
      <c r="X43" t="s">
        <v>37</v>
      </c>
      <c r="Y43">
        <f>IF(Limpopo_poultry_hatchery_production_RAW3[[#This Row],[Biosecurity_Check]]="Pass",0,1)</f>
        <v>0</v>
      </c>
      <c r="Z43" t="str">
        <f>IF(Limpopo_poultry_hatchery_production_RAW3[[#This Row],[Hatchability_Pct]]&lt;91, "⚠ Low Hatchability","√ OK")</f>
        <v>√ OK</v>
      </c>
      <c r="AA43">
        <f>IF(Limpopo_poultry_hatchery_production_RAW3[[#This Row],[QC Flag]]="√ OK", 0, 1)</f>
        <v>0</v>
      </c>
      <c r="AB43" t="s">
        <v>185</v>
      </c>
      <c r="AC43" t="s">
        <v>39</v>
      </c>
    </row>
    <row r="44" spans="1:29" x14ac:dyDescent="0.25">
      <c r="A44" s="2">
        <v>44617</v>
      </c>
      <c r="B44" s="2" t="str">
        <f>TEXT(Limpopo_poultry_hatchery_production_RAW3[[#This Row],[Week_Ending]], "mmm")</f>
        <v>Feb</v>
      </c>
      <c r="C44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44" t="s">
        <v>24</v>
      </c>
      <c r="E44" t="s">
        <v>25</v>
      </c>
      <c r="F44" t="s">
        <v>26</v>
      </c>
      <c r="G44" t="s">
        <v>27</v>
      </c>
      <c r="H44" t="s">
        <v>28</v>
      </c>
      <c r="I44" t="s">
        <v>29</v>
      </c>
      <c r="J44" s="3">
        <v>22000</v>
      </c>
      <c r="K44" s="38" t="s">
        <v>119</v>
      </c>
      <c r="L44" s="5">
        <f>(Limpopo_poultry_hatchery_production_RAW3[[#This Row],[Eggs_Fertile]]/Limpopo_poultry_hatchery_production_RAW3[[#This Row],[Eggs_Set]])*100</f>
        <v>94</v>
      </c>
      <c r="M44" s="9">
        <v>18900</v>
      </c>
      <c r="N44" s="3">
        <f>(Limpopo_poultry_hatchery_production_RAW3[[#This Row],[Eggs_Hatched]]/Limpopo_poultry_hatchery_production_RAW3[[#This Row],[Eggs_Fertile]])*100</f>
        <v>91.392649903288202</v>
      </c>
      <c r="O44" s="3">
        <v>18500</v>
      </c>
      <c r="P44" s="3">
        <v>310</v>
      </c>
      <c r="Q44" s="3">
        <v>90</v>
      </c>
      <c r="R44" s="3">
        <f>(Limpopo_poultry_hatchery_production_RAW3[[#This Row],[Chicks_Culled]]/Limpopo_poultry_hatchery_production_RAW3[[#This Row],[Eggs_Hatched]])*100</f>
        <v>0.47619047619047622</v>
      </c>
      <c r="S44" s="3">
        <v>8800</v>
      </c>
      <c r="T44" s="40" t="s">
        <v>34</v>
      </c>
      <c r="U44" s="4">
        <v>37.700000000000003</v>
      </c>
      <c r="V44">
        <v>57</v>
      </c>
      <c r="W44" s="4">
        <v>13</v>
      </c>
      <c r="X44" t="s">
        <v>37</v>
      </c>
      <c r="Y44">
        <f>IF(Limpopo_poultry_hatchery_production_RAW3[[#This Row],[Biosecurity_Check]]="Pass",0,1)</f>
        <v>0</v>
      </c>
      <c r="Z44" t="str">
        <f>IF(Limpopo_poultry_hatchery_production_RAW3[[#This Row],[Hatchability_Pct]]&lt;91, "⚠ Low Hatchability","√ OK")</f>
        <v>√ OK</v>
      </c>
      <c r="AA44">
        <f>IF(Limpopo_poultry_hatchery_production_RAW3[[#This Row],[QC Flag]]="√ OK", 0, 1)</f>
        <v>0</v>
      </c>
      <c r="AC44" t="s">
        <v>39</v>
      </c>
    </row>
    <row r="45" spans="1:29" x14ac:dyDescent="0.25">
      <c r="A45" s="2">
        <v>44617</v>
      </c>
      <c r="B45" s="2" t="str">
        <f>TEXT(Limpopo_poultry_hatchery_production_RAW3[[#This Row],[Week_Ending]], "mmm")</f>
        <v>Feb</v>
      </c>
      <c r="C45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45" t="s">
        <v>40</v>
      </c>
      <c r="E45" t="s">
        <v>25</v>
      </c>
      <c r="F45" t="s">
        <v>26</v>
      </c>
      <c r="G45" t="s">
        <v>41</v>
      </c>
      <c r="H45" t="s">
        <v>42</v>
      </c>
      <c r="I45" t="s">
        <v>29</v>
      </c>
      <c r="J45" s="3">
        <v>18500</v>
      </c>
      <c r="K45" s="38" t="s">
        <v>43</v>
      </c>
      <c r="L45" s="5">
        <f>(Limpopo_poultry_hatchery_production_RAW3[[#This Row],[Eggs_Fertile]]/Limpopo_poultry_hatchery_production_RAW3[[#This Row],[Eggs_Set]])*100</f>
        <v>94</v>
      </c>
      <c r="M45" s="9">
        <v>15700</v>
      </c>
      <c r="N45" s="3">
        <f>(Limpopo_poultry_hatchery_production_RAW3[[#This Row],[Eggs_Hatched]]/Limpopo_poultry_hatchery_production_RAW3[[#This Row],[Eggs_Fertile]])*100</f>
        <v>90.281771132834962</v>
      </c>
      <c r="O45" s="3">
        <v>15300</v>
      </c>
      <c r="P45" s="3">
        <v>305</v>
      </c>
      <c r="Q45" s="3">
        <v>95</v>
      </c>
      <c r="R45" s="3">
        <f>(Limpopo_poultry_hatchery_production_RAW3[[#This Row],[Chicks_Culled]]/Limpopo_poultry_hatchery_production_RAW3[[#This Row],[Eggs_Hatched]])*100</f>
        <v>0.60509554140127397</v>
      </c>
      <c r="S45" s="3">
        <v>7400</v>
      </c>
      <c r="T45" s="40" t="s">
        <v>47</v>
      </c>
      <c r="U45" s="4">
        <v>37.700000000000003</v>
      </c>
      <c r="V45">
        <v>57</v>
      </c>
      <c r="W45" s="4">
        <v>14</v>
      </c>
      <c r="X45" t="s">
        <v>37</v>
      </c>
      <c r="Y45">
        <f>IF(Limpopo_poultry_hatchery_production_RAW3[[#This Row],[Biosecurity_Check]]="Pass",0,1)</f>
        <v>0</v>
      </c>
      <c r="Z45" t="str">
        <f>IF(Limpopo_poultry_hatchery_production_RAW3[[#This Row],[Hatchability_Pct]]&lt;91, "⚠ Low Hatchability","√ OK")</f>
        <v>⚠ Low Hatchability</v>
      </c>
      <c r="AA45">
        <f>IF(Limpopo_poultry_hatchery_production_RAW3[[#This Row],[QC Flag]]="√ OK", 0, 1)</f>
        <v>1</v>
      </c>
      <c r="AC45" t="s">
        <v>39</v>
      </c>
    </row>
    <row r="46" spans="1:29" x14ac:dyDescent="0.25">
      <c r="A46" s="2">
        <v>44617</v>
      </c>
      <c r="B46" s="2" t="str">
        <f>TEXT(Limpopo_poultry_hatchery_production_RAW3[[#This Row],[Week_Ending]], "mmm")</f>
        <v>Feb</v>
      </c>
      <c r="C46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46" t="s">
        <v>50</v>
      </c>
      <c r="E46" t="s">
        <v>51</v>
      </c>
      <c r="F46" t="s">
        <v>26</v>
      </c>
      <c r="G46" t="s">
        <v>52</v>
      </c>
      <c r="H46" t="s">
        <v>53</v>
      </c>
      <c r="I46" t="s">
        <v>54</v>
      </c>
      <c r="J46" s="3">
        <v>15000</v>
      </c>
      <c r="K46" s="38" t="s">
        <v>55</v>
      </c>
      <c r="L46" s="5">
        <f>(Limpopo_poultry_hatchery_production_RAW3[[#This Row],[Eggs_Fertile]]/Limpopo_poultry_hatchery_production_RAW3[[#This Row],[Eggs_Set]])*100</f>
        <v>94</v>
      </c>
      <c r="M46" s="9">
        <v>12700</v>
      </c>
      <c r="N46" s="3">
        <f>(Limpopo_poultry_hatchery_production_RAW3[[#This Row],[Eggs_Hatched]]/Limpopo_poultry_hatchery_production_RAW3[[#This Row],[Eggs_Fertile]])*100</f>
        <v>90.070921985815602</v>
      </c>
      <c r="O46" s="3">
        <v>12500</v>
      </c>
      <c r="P46" s="3">
        <v>175</v>
      </c>
      <c r="Q46" s="3">
        <v>25</v>
      </c>
      <c r="R46" s="3">
        <f>(Limpopo_poultry_hatchery_production_RAW3[[#This Row],[Chicks_Culled]]/Limpopo_poultry_hatchery_production_RAW3[[#This Row],[Eggs_Hatched]])*100</f>
        <v>0.19685039370078738</v>
      </c>
      <c r="S46" s="3">
        <v>6000</v>
      </c>
      <c r="T46" s="40" t="s">
        <v>58</v>
      </c>
      <c r="U46" s="4">
        <v>37.700000000000003</v>
      </c>
      <c r="V46">
        <v>57</v>
      </c>
      <c r="W46" s="4">
        <v>8</v>
      </c>
      <c r="X46" t="s">
        <v>37</v>
      </c>
      <c r="Y46">
        <f>IF(Limpopo_poultry_hatchery_production_RAW3[[#This Row],[Biosecurity_Check]]="Pass",0,1)</f>
        <v>0</v>
      </c>
      <c r="Z46" t="str">
        <f>IF(Limpopo_poultry_hatchery_production_RAW3[[#This Row],[Hatchability_Pct]]&lt;91, "⚠ Low Hatchability","√ OK")</f>
        <v>⚠ Low Hatchability</v>
      </c>
      <c r="AA46">
        <f>IF(Limpopo_poultry_hatchery_production_RAW3[[#This Row],[QC Flag]]="√ OK", 0, 1)</f>
        <v>1</v>
      </c>
      <c r="AC46" t="s">
        <v>39</v>
      </c>
    </row>
    <row r="47" spans="1:29" x14ac:dyDescent="0.25">
      <c r="A47" s="2">
        <v>44617</v>
      </c>
      <c r="B47" s="2" t="str">
        <f>TEXT(Limpopo_poultry_hatchery_production_RAW3[[#This Row],[Week_Ending]], "mmm")</f>
        <v>Feb</v>
      </c>
      <c r="C47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47" t="s">
        <v>62</v>
      </c>
      <c r="E47" t="s">
        <v>25</v>
      </c>
      <c r="F47" t="s">
        <v>63</v>
      </c>
      <c r="G47" t="s">
        <v>64</v>
      </c>
      <c r="H47" t="s">
        <v>65</v>
      </c>
      <c r="I47" t="s">
        <v>66</v>
      </c>
      <c r="J47" s="3">
        <v>25000</v>
      </c>
      <c r="K47" s="38" t="s">
        <v>67</v>
      </c>
      <c r="L47" s="5">
        <f>(Limpopo_poultry_hatchery_production_RAW3[[#This Row],[Eggs_Fertile]]/Limpopo_poultry_hatchery_production_RAW3[[#This Row],[Eggs_Set]])*100</f>
        <v>94</v>
      </c>
      <c r="M47" s="9">
        <v>21500</v>
      </c>
      <c r="N47" s="3">
        <f>(Limpopo_poultry_hatchery_production_RAW3[[#This Row],[Eggs_Hatched]]/Limpopo_poultry_hatchery_production_RAW3[[#This Row],[Eggs_Fertile]])*100</f>
        <v>91.489361702127653</v>
      </c>
      <c r="O47" s="3">
        <v>21000</v>
      </c>
      <c r="P47" s="3">
        <v>378</v>
      </c>
      <c r="Q47" s="3">
        <v>122</v>
      </c>
      <c r="R47" s="3">
        <f>(Limpopo_poultry_hatchery_production_RAW3[[#This Row],[Chicks_Culled]]/Limpopo_poultry_hatchery_production_RAW3[[#This Row],[Eggs_Hatched]])*100</f>
        <v>0.56744186046511635</v>
      </c>
      <c r="S47" s="3">
        <v>10000</v>
      </c>
      <c r="T47" s="40" t="s">
        <v>69</v>
      </c>
      <c r="U47" s="4">
        <v>37.6</v>
      </c>
      <c r="V47">
        <v>57</v>
      </c>
      <c r="W47" s="4">
        <v>15</v>
      </c>
      <c r="X47" t="s">
        <v>37</v>
      </c>
      <c r="Y47">
        <f>IF(Limpopo_poultry_hatchery_production_RAW3[[#This Row],[Biosecurity_Check]]="Pass",0,1)</f>
        <v>0</v>
      </c>
      <c r="Z47" t="str">
        <f>IF(Limpopo_poultry_hatchery_production_RAW3[[#This Row],[Hatchability_Pct]]&lt;91, "⚠ Low Hatchability","√ OK")</f>
        <v>√ OK</v>
      </c>
      <c r="AA47">
        <f>IF(Limpopo_poultry_hatchery_production_RAW3[[#This Row],[QC Flag]]="√ OK", 0, 1)</f>
        <v>0</v>
      </c>
      <c r="AC47" t="s">
        <v>39</v>
      </c>
    </row>
    <row r="48" spans="1:29" x14ac:dyDescent="0.25">
      <c r="A48" s="2">
        <v>44617</v>
      </c>
      <c r="B48" s="2" t="str">
        <f>TEXT(Limpopo_poultry_hatchery_production_RAW3[[#This Row],[Week_Ending]], "mmm")</f>
        <v>Feb</v>
      </c>
      <c r="C48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48" t="s">
        <v>73</v>
      </c>
      <c r="E48" t="s">
        <v>74</v>
      </c>
      <c r="F48" t="s">
        <v>75</v>
      </c>
      <c r="G48" t="s">
        <v>76</v>
      </c>
      <c r="H48" t="s">
        <v>77</v>
      </c>
      <c r="I48" t="s">
        <v>29</v>
      </c>
      <c r="J48" s="3">
        <v>12000</v>
      </c>
      <c r="K48" s="38" t="s">
        <v>135</v>
      </c>
      <c r="L48" s="5">
        <f>(Limpopo_poultry_hatchery_production_RAW3[[#This Row],[Eggs_Fertile]]/Limpopo_poultry_hatchery_production_RAW3[[#This Row],[Eggs_Set]])*100</f>
        <v>94</v>
      </c>
      <c r="M48" s="9">
        <v>10300</v>
      </c>
      <c r="N48" s="3">
        <f>(Limpopo_poultry_hatchery_production_RAW3[[#This Row],[Eggs_Hatched]]/Limpopo_poultry_hatchery_production_RAW3[[#This Row],[Eggs_Fertile]])*100</f>
        <v>91.312056737588648</v>
      </c>
      <c r="O48" s="3">
        <v>10100</v>
      </c>
      <c r="P48" s="3">
        <v>162</v>
      </c>
      <c r="Q48" s="3">
        <v>38</v>
      </c>
      <c r="R48" s="3">
        <f>(Limpopo_poultry_hatchery_production_RAW3[[#This Row],[Chicks_Culled]]/Limpopo_poultry_hatchery_production_RAW3[[#This Row],[Eggs_Hatched]])*100</f>
        <v>0.36893203883495146</v>
      </c>
      <c r="S48" s="3">
        <v>4800</v>
      </c>
      <c r="T48" s="40" t="s">
        <v>81</v>
      </c>
      <c r="U48" s="4">
        <v>37.6</v>
      </c>
      <c r="V48">
        <v>57</v>
      </c>
      <c r="W48" s="4">
        <v>5</v>
      </c>
      <c r="X48" t="s">
        <v>37</v>
      </c>
      <c r="Y48">
        <f>IF(Limpopo_poultry_hatchery_production_RAW3[[#This Row],[Biosecurity_Check]]="Pass",0,1)</f>
        <v>0</v>
      </c>
      <c r="Z48" t="str">
        <f>IF(Limpopo_poultry_hatchery_production_RAW3[[#This Row],[Hatchability_Pct]]&lt;91, "⚠ Low Hatchability","√ OK")</f>
        <v>√ OK</v>
      </c>
      <c r="AA48">
        <f>IF(Limpopo_poultry_hatchery_production_RAW3[[#This Row],[QC Flag]]="√ OK", 0, 1)</f>
        <v>0</v>
      </c>
      <c r="AC48" t="s">
        <v>39</v>
      </c>
    </row>
    <row r="49" spans="1:29" x14ac:dyDescent="0.25">
      <c r="A49" s="2">
        <v>44617</v>
      </c>
      <c r="B49" s="2" t="str">
        <f>TEXT(Limpopo_poultry_hatchery_production_RAW3[[#This Row],[Week_Ending]], "mmm")</f>
        <v>Feb</v>
      </c>
      <c r="C49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49" t="s">
        <v>85</v>
      </c>
      <c r="E49" t="s">
        <v>25</v>
      </c>
      <c r="F49" t="s">
        <v>75</v>
      </c>
      <c r="G49" t="s">
        <v>86</v>
      </c>
      <c r="H49" t="s">
        <v>87</v>
      </c>
      <c r="I49" t="s">
        <v>66</v>
      </c>
      <c r="J49" s="3">
        <v>19000</v>
      </c>
      <c r="K49" s="38" t="s">
        <v>137</v>
      </c>
      <c r="L49" s="5">
        <f>(Limpopo_poultry_hatchery_production_RAW3[[#This Row],[Eggs_Fertile]]/Limpopo_poultry_hatchery_production_RAW3[[#This Row],[Eggs_Set]])*100</f>
        <v>93</v>
      </c>
      <c r="M49" s="9">
        <v>16100</v>
      </c>
      <c r="N49" s="3">
        <f>(Limpopo_poultry_hatchery_production_RAW3[[#This Row],[Eggs_Hatched]]/Limpopo_poultry_hatchery_production_RAW3[[#This Row],[Eggs_Fertile]])*100</f>
        <v>91.114883984153934</v>
      </c>
      <c r="O49" s="3">
        <v>15700</v>
      </c>
      <c r="P49" s="3">
        <v>302</v>
      </c>
      <c r="Q49" s="3">
        <v>98</v>
      </c>
      <c r="R49" s="3">
        <f>(Limpopo_poultry_hatchery_production_RAW3[[#This Row],[Chicks_Culled]]/Limpopo_poultry_hatchery_production_RAW3[[#This Row],[Eggs_Hatched]])*100</f>
        <v>0.60869565217391308</v>
      </c>
      <c r="S49" s="3">
        <v>7600</v>
      </c>
      <c r="T49" s="40" t="s">
        <v>91</v>
      </c>
      <c r="U49" s="4">
        <v>37.799999999999997</v>
      </c>
      <c r="V49">
        <v>56</v>
      </c>
      <c r="W49" s="4">
        <v>11</v>
      </c>
      <c r="X49" t="s">
        <v>37</v>
      </c>
      <c r="Y49">
        <f>IF(Limpopo_poultry_hatchery_production_RAW3[[#This Row],[Biosecurity_Check]]="Pass",0,1)</f>
        <v>0</v>
      </c>
      <c r="Z49" t="str">
        <f>IF(Limpopo_poultry_hatchery_production_RAW3[[#This Row],[Hatchability_Pct]]&lt;91, "⚠ Low Hatchability","√ OK")</f>
        <v>√ OK</v>
      </c>
      <c r="AA49">
        <f>IF(Limpopo_poultry_hatchery_production_RAW3[[#This Row],[QC Flag]]="√ OK", 0, 1)</f>
        <v>0</v>
      </c>
      <c r="AC49" t="s">
        <v>39</v>
      </c>
    </row>
    <row r="50" spans="1:29" x14ac:dyDescent="0.25">
      <c r="A50" s="2">
        <v>44624</v>
      </c>
      <c r="B50" s="2" t="str">
        <f>TEXT(Limpopo_poultry_hatchery_production_RAW3[[#This Row],[Week_Ending]], "mmm")</f>
        <v>Mar</v>
      </c>
      <c r="C50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50" t="s">
        <v>24</v>
      </c>
      <c r="E50" t="s">
        <v>25</v>
      </c>
      <c r="F50" t="s">
        <v>26</v>
      </c>
      <c r="G50" t="s">
        <v>27</v>
      </c>
      <c r="H50" t="s">
        <v>28</v>
      </c>
      <c r="I50" t="s">
        <v>29</v>
      </c>
      <c r="J50" s="3">
        <v>22000</v>
      </c>
      <c r="K50" s="38" t="s">
        <v>94</v>
      </c>
      <c r="L50" s="5">
        <f>(Limpopo_poultry_hatchery_production_RAW3[[#This Row],[Eggs_Fertile]]/Limpopo_poultry_hatchery_production_RAW3[[#This Row],[Eggs_Set]])*100</f>
        <v>96</v>
      </c>
      <c r="M50" s="9">
        <v>19400</v>
      </c>
      <c r="N50" s="3">
        <f>(Limpopo_poultry_hatchery_production_RAW3[[#This Row],[Eggs_Hatched]]/Limpopo_poultry_hatchery_production_RAW3[[#This Row],[Eggs_Fertile]])*100</f>
        <v>91.856060606060609</v>
      </c>
      <c r="O50" s="3">
        <v>19000</v>
      </c>
      <c r="P50" s="3">
        <v>298</v>
      </c>
      <c r="Q50" s="3">
        <v>102</v>
      </c>
      <c r="R50" s="3">
        <f>(Limpopo_poultry_hatchery_production_RAW3[[#This Row],[Chicks_Culled]]/Limpopo_poultry_hatchery_production_RAW3[[#This Row],[Eggs_Hatched]])*100</f>
        <v>0.52577319587628868</v>
      </c>
      <c r="S50" s="3">
        <v>8800</v>
      </c>
      <c r="T50" s="40" t="s">
        <v>34</v>
      </c>
      <c r="U50" s="4">
        <v>37.5</v>
      </c>
      <c r="V50">
        <v>59</v>
      </c>
      <c r="W50" s="4">
        <v>9</v>
      </c>
      <c r="X50" t="s">
        <v>37</v>
      </c>
      <c r="Y50">
        <f>IF(Limpopo_poultry_hatchery_production_RAW3[[#This Row],[Biosecurity_Check]]="Pass",0,1)</f>
        <v>0</v>
      </c>
      <c r="Z50" t="str">
        <f>IF(Limpopo_poultry_hatchery_production_RAW3[[#This Row],[Hatchability_Pct]]&lt;91, "⚠ Low Hatchability","√ OK")</f>
        <v>√ OK</v>
      </c>
      <c r="AA50">
        <f>IF(Limpopo_poultry_hatchery_production_RAW3[[#This Row],[QC Flag]]="√ OK", 0, 1)</f>
        <v>0</v>
      </c>
      <c r="AB50" t="s">
        <v>143</v>
      </c>
      <c r="AC50" t="s">
        <v>201</v>
      </c>
    </row>
    <row r="51" spans="1:29" x14ac:dyDescent="0.25">
      <c r="A51" s="2">
        <v>44624</v>
      </c>
      <c r="B51" s="2" t="str">
        <f>TEXT(Limpopo_poultry_hatchery_production_RAW3[[#This Row],[Week_Ending]], "mmm")</f>
        <v>Mar</v>
      </c>
      <c r="C51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51" t="s">
        <v>40</v>
      </c>
      <c r="E51" t="s">
        <v>25</v>
      </c>
      <c r="F51" t="s">
        <v>26</v>
      </c>
      <c r="G51" t="s">
        <v>41</v>
      </c>
      <c r="H51" t="s">
        <v>42</v>
      </c>
      <c r="I51" t="s">
        <v>29</v>
      </c>
      <c r="J51" s="3">
        <v>18500</v>
      </c>
      <c r="K51" s="38" t="s">
        <v>144</v>
      </c>
      <c r="L51" s="5">
        <f>(Limpopo_poultry_hatchery_production_RAW3[[#This Row],[Eggs_Fertile]]/Limpopo_poultry_hatchery_production_RAW3[[#This Row],[Eggs_Set]])*100</f>
        <v>97</v>
      </c>
      <c r="M51" s="9">
        <v>16400</v>
      </c>
      <c r="N51" s="3">
        <f>(Limpopo_poultry_hatchery_production_RAW3[[#This Row],[Eggs_Hatched]]/Limpopo_poultry_hatchery_production_RAW3[[#This Row],[Eggs_Fertile]])*100</f>
        <v>91.390359431596551</v>
      </c>
      <c r="O51" s="3">
        <v>16000</v>
      </c>
      <c r="P51" s="3">
        <v>308</v>
      </c>
      <c r="Q51" s="3">
        <v>92</v>
      </c>
      <c r="R51" s="3">
        <f>(Limpopo_poultry_hatchery_production_RAW3[[#This Row],[Chicks_Culled]]/Limpopo_poultry_hatchery_production_RAW3[[#This Row],[Eggs_Hatched]])*100</f>
        <v>0.5609756097560975</v>
      </c>
      <c r="S51" s="3">
        <v>7400</v>
      </c>
      <c r="T51" s="40" t="s">
        <v>47</v>
      </c>
      <c r="U51" s="4">
        <v>37.5</v>
      </c>
      <c r="V51">
        <v>59</v>
      </c>
      <c r="W51" s="4">
        <v>8</v>
      </c>
      <c r="X51" t="s">
        <v>37</v>
      </c>
      <c r="Y51">
        <f>IF(Limpopo_poultry_hatchery_production_RAW3[[#This Row],[Biosecurity_Check]]="Pass",0,1)</f>
        <v>0</v>
      </c>
      <c r="Z51" t="str">
        <f>IF(Limpopo_poultry_hatchery_production_RAW3[[#This Row],[Hatchability_Pct]]&lt;91, "⚠ Low Hatchability","√ OK")</f>
        <v>√ OK</v>
      </c>
      <c r="AA51">
        <f>IF(Limpopo_poultry_hatchery_production_RAW3[[#This Row],[QC Flag]]="√ OK", 0, 1)</f>
        <v>0</v>
      </c>
      <c r="AB51" t="s">
        <v>143</v>
      </c>
      <c r="AC51" t="s">
        <v>39</v>
      </c>
    </row>
    <row r="52" spans="1:29" x14ac:dyDescent="0.25">
      <c r="A52" s="2">
        <v>44624</v>
      </c>
      <c r="B52" s="2" t="str">
        <f>TEXT(Limpopo_poultry_hatchery_production_RAW3[[#This Row],[Week_Ending]], "mmm")</f>
        <v>Mar</v>
      </c>
      <c r="C52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52" t="s">
        <v>50</v>
      </c>
      <c r="E52" t="s">
        <v>51</v>
      </c>
      <c r="F52" t="s">
        <v>26</v>
      </c>
      <c r="G52" t="s">
        <v>52</v>
      </c>
      <c r="H52" t="s">
        <v>53</v>
      </c>
      <c r="I52" t="s">
        <v>54</v>
      </c>
      <c r="J52" s="3">
        <v>15000</v>
      </c>
      <c r="K52" s="38" t="s">
        <v>81</v>
      </c>
      <c r="L52" s="5">
        <f>(Limpopo_poultry_hatchery_production_RAW3[[#This Row],[Eggs_Fertile]]/Limpopo_poultry_hatchery_production_RAW3[[#This Row],[Eggs_Set]])*100</f>
        <v>96</v>
      </c>
      <c r="M52" s="9">
        <v>13050</v>
      </c>
      <c r="N52" s="3">
        <f>(Limpopo_poultry_hatchery_production_RAW3[[#This Row],[Eggs_Hatched]]/Limpopo_poultry_hatchery_production_RAW3[[#This Row],[Eggs_Fertile]])*100</f>
        <v>90.625</v>
      </c>
      <c r="O52" s="3">
        <v>12850</v>
      </c>
      <c r="P52" s="3">
        <v>170</v>
      </c>
      <c r="Q52" s="3">
        <v>30</v>
      </c>
      <c r="R52" s="3">
        <f>(Limpopo_poultry_hatchery_production_RAW3[[#This Row],[Chicks_Culled]]/Limpopo_poultry_hatchery_production_RAW3[[#This Row],[Eggs_Hatched]])*100</f>
        <v>0.22988505747126436</v>
      </c>
      <c r="S52" s="3">
        <v>6000</v>
      </c>
      <c r="T52" s="40" t="s">
        <v>58</v>
      </c>
      <c r="U52" s="4">
        <v>37.5</v>
      </c>
      <c r="V52">
        <v>60</v>
      </c>
      <c r="W52" s="4">
        <v>5</v>
      </c>
      <c r="X52" t="s">
        <v>37</v>
      </c>
      <c r="Y52">
        <f>IF(Limpopo_poultry_hatchery_production_RAW3[[#This Row],[Biosecurity_Check]]="Pass",0,1)</f>
        <v>0</v>
      </c>
      <c r="Z52" t="str">
        <f>IF(Limpopo_poultry_hatchery_production_RAW3[[#This Row],[Hatchability_Pct]]&lt;91, "⚠ Low Hatchability","√ OK")</f>
        <v>⚠ Low Hatchability</v>
      </c>
      <c r="AA52">
        <f>IF(Limpopo_poultry_hatchery_production_RAW3[[#This Row],[QC Flag]]="√ OK", 0, 1)</f>
        <v>1</v>
      </c>
      <c r="AB52" t="s">
        <v>61</v>
      </c>
      <c r="AC52" t="s">
        <v>39</v>
      </c>
    </row>
    <row r="53" spans="1:29" x14ac:dyDescent="0.25">
      <c r="A53" s="2">
        <v>44624</v>
      </c>
      <c r="B53" s="2" t="str">
        <f>TEXT(Limpopo_poultry_hatchery_production_RAW3[[#This Row],[Week_Ending]], "mmm")</f>
        <v>Mar</v>
      </c>
      <c r="C53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53" t="s">
        <v>62</v>
      </c>
      <c r="E53" t="s">
        <v>25</v>
      </c>
      <c r="F53" t="s">
        <v>63</v>
      </c>
      <c r="G53" t="s">
        <v>64</v>
      </c>
      <c r="H53" t="s">
        <v>65</v>
      </c>
      <c r="I53" t="s">
        <v>66</v>
      </c>
      <c r="J53" s="3">
        <v>25000</v>
      </c>
      <c r="K53" s="38" t="s">
        <v>150</v>
      </c>
      <c r="L53" s="5">
        <f>(Limpopo_poultry_hatchery_production_RAW3[[#This Row],[Eggs_Fertile]]/Limpopo_poultry_hatchery_production_RAW3[[#This Row],[Eggs_Set]])*100</f>
        <v>96</v>
      </c>
      <c r="M53" s="9">
        <v>22000</v>
      </c>
      <c r="N53" s="3">
        <f>(Limpopo_poultry_hatchery_production_RAW3[[#This Row],[Eggs_Hatched]]/Limpopo_poultry_hatchery_production_RAW3[[#This Row],[Eggs_Fertile]])*100</f>
        <v>91.666666666666657</v>
      </c>
      <c r="O53" s="3">
        <v>21500</v>
      </c>
      <c r="P53" s="3">
        <v>368</v>
      </c>
      <c r="Q53" s="3">
        <v>132</v>
      </c>
      <c r="R53" s="3">
        <f>(Limpopo_poultry_hatchery_production_RAW3[[#This Row],[Chicks_Culled]]/Limpopo_poultry_hatchery_production_RAW3[[#This Row],[Eggs_Hatched]])*100</f>
        <v>0.6</v>
      </c>
      <c r="S53" s="3">
        <v>10000</v>
      </c>
      <c r="T53" s="40" t="s">
        <v>69</v>
      </c>
      <c r="U53" s="4">
        <v>37.5</v>
      </c>
      <c r="V53">
        <v>58</v>
      </c>
      <c r="W53" s="4">
        <v>10</v>
      </c>
      <c r="X53" t="s">
        <v>37</v>
      </c>
      <c r="Y53">
        <f>IF(Limpopo_poultry_hatchery_production_RAW3[[#This Row],[Biosecurity_Check]]="Pass",0,1)</f>
        <v>0</v>
      </c>
      <c r="Z53" t="str">
        <f>IF(Limpopo_poultry_hatchery_production_RAW3[[#This Row],[Hatchability_Pct]]&lt;91, "⚠ Low Hatchability","√ OK")</f>
        <v>√ OK</v>
      </c>
      <c r="AA53">
        <f>IF(Limpopo_poultry_hatchery_production_RAW3[[#This Row],[QC Flag]]="√ OK", 0, 1)</f>
        <v>0</v>
      </c>
      <c r="AB53" t="s">
        <v>143</v>
      </c>
      <c r="AC53" t="s">
        <v>39</v>
      </c>
    </row>
    <row r="54" spans="1:29" x14ac:dyDescent="0.25">
      <c r="A54" s="2">
        <v>44624</v>
      </c>
      <c r="B54" s="2" t="str">
        <f>TEXT(Limpopo_poultry_hatchery_production_RAW3[[#This Row],[Week_Ending]], "mmm")</f>
        <v>Mar</v>
      </c>
      <c r="C54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54" t="s">
        <v>73</v>
      </c>
      <c r="E54" t="s">
        <v>74</v>
      </c>
      <c r="F54" t="s">
        <v>75</v>
      </c>
      <c r="G54" t="s">
        <v>76</v>
      </c>
      <c r="H54" t="s">
        <v>77</v>
      </c>
      <c r="I54" t="s">
        <v>29</v>
      </c>
      <c r="J54" s="3">
        <v>12000</v>
      </c>
      <c r="K54" s="38" t="s">
        <v>153</v>
      </c>
      <c r="L54" s="5">
        <f>(Limpopo_poultry_hatchery_production_RAW3[[#This Row],[Eggs_Fertile]]/Limpopo_poultry_hatchery_production_RAW3[[#This Row],[Eggs_Set]])*100</f>
        <v>97</v>
      </c>
      <c r="M54" s="9">
        <v>10700</v>
      </c>
      <c r="N54" s="3">
        <f>(Limpopo_poultry_hatchery_production_RAW3[[#This Row],[Eggs_Hatched]]/Limpopo_poultry_hatchery_production_RAW3[[#This Row],[Eggs_Fertile]])*100</f>
        <v>91.924398625429546</v>
      </c>
      <c r="O54" s="3">
        <v>10500</v>
      </c>
      <c r="P54" s="3">
        <v>152</v>
      </c>
      <c r="Q54" s="3">
        <v>48</v>
      </c>
      <c r="R54" s="3">
        <f>(Limpopo_poultry_hatchery_production_RAW3[[#This Row],[Chicks_Culled]]/Limpopo_poultry_hatchery_production_RAW3[[#This Row],[Eggs_Hatched]])*100</f>
        <v>0.44859813084112149</v>
      </c>
      <c r="S54" s="3">
        <v>4800</v>
      </c>
      <c r="T54" s="40" t="s">
        <v>81</v>
      </c>
      <c r="U54" s="4">
        <v>37.5</v>
      </c>
      <c r="V54">
        <v>59</v>
      </c>
      <c r="W54" s="4">
        <v>3</v>
      </c>
      <c r="X54" t="s">
        <v>37</v>
      </c>
      <c r="Y54">
        <f>IF(Limpopo_poultry_hatchery_production_RAW3[[#This Row],[Biosecurity_Check]]="Pass",0,1)</f>
        <v>0</v>
      </c>
      <c r="Z54" t="str">
        <f>IF(Limpopo_poultry_hatchery_production_RAW3[[#This Row],[Hatchability_Pct]]&lt;91, "⚠ Low Hatchability","√ OK")</f>
        <v>√ OK</v>
      </c>
      <c r="AA54">
        <f>IF(Limpopo_poultry_hatchery_production_RAW3[[#This Row],[QC Flag]]="√ OK", 0, 1)</f>
        <v>0</v>
      </c>
      <c r="AB54" t="s">
        <v>156</v>
      </c>
      <c r="AC54" t="s">
        <v>39</v>
      </c>
    </row>
    <row r="55" spans="1:29" x14ac:dyDescent="0.25">
      <c r="A55" s="2">
        <v>44624</v>
      </c>
      <c r="B55" s="2" t="str">
        <f>TEXT(Limpopo_poultry_hatchery_production_RAW3[[#This Row],[Week_Ending]], "mmm")</f>
        <v>Mar</v>
      </c>
      <c r="C55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55" t="s">
        <v>85</v>
      </c>
      <c r="E55" t="s">
        <v>25</v>
      </c>
      <c r="F55" t="s">
        <v>75</v>
      </c>
      <c r="G55" t="s">
        <v>86</v>
      </c>
      <c r="H55" t="s">
        <v>87</v>
      </c>
      <c r="I55" t="s">
        <v>66</v>
      </c>
      <c r="J55" s="3">
        <v>19000</v>
      </c>
      <c r="K55" s="38" t="s">
        <v>157</v>
      </c>
      <c r="L55" s="5">
        <f>(Limpopo_poultry_hatchery_production_RAW3[[#This Row],[Eggs_Fertile]]/Limpopo_poultry_hatchery_production_RAW3[[#This Row],[Eggs_Set]])*100</f>
        <v>97</v>
      </c>
      <c r="M55" s="9">
        <v>16900</v>
      </c>
      <c r="N55" s="3">
        <f>(Limpopo_poultry_hatchery_production_RAW3[[#This Row],[Eggs_Hatched]]/Limpopo_poultry_hatchery_production_RAW3[[#This Row],[Eggs_Fertile]])*100</f>
        <v>91.698317959848069</v>
      </c>
      <c r="O55" s="3">
        <v>16500</v>
      </c>
      <c r="P55" s="3">
        <v>283</v>
      </c>
      <c r="Q55" s="3">
        <v>117</v>
      </c>
      <c r="R55" s="3">
        <f>(Limpopo_poultry_hatchery_production_RAW3[[#This Row],[Chicks_Culled]]/Limpopo_poultry_hatchery_production_RAW3[[#This Row],[Eggs_Hatched]])*100</f>
        <v>0.69230769230769229</v>
      </c>
      <c r="S55" s="3">
        <v>7600</v>
      </c>
      <c r="T55" s="40" t="s">
        <v>91</v>
      </c>
      <c r="U55" s="4">
        <v>37.6</v>
      </c>
      <c r="V55">
        <v>58</v>
      </c>
      <c r="W55" s="4">
        <v>7</v>
      </c>
      <c r="X55" t="s">
        <v>37</v>
      </c>
      <c r="Y55">
        <f>IF(Limpopo_poultry_hatchery_production_RAW3[[#This Row],[Biosecurity_Check]]="Pass",0,1)</f>
        <v>0</v>
      </c>
      <c r="Z55" t="str">
        <f>IF(Limpopo_poultry_hatchery_production_RAW3[[#This Row],[Hatchability_Pct]]&lt;91, "⚠ Low Hatchability","√ OK")</f>
        <v>√ OK</v>
      </c>
      <c r="AA55">
        <f>IF(Limpopo_poultry_hatchery_production_RAW3[[#This Row],[QC Flag]]="√ OK", 0, 1)</f>
        <v>0</v>
      </c>
      <c r="AB55" t="s">
        <v>143</v>
      </c>
      <c r="AC55" t="s">
        <v>39</v>
      </c>
    </row>
    <row r="56" spans="1:29" x14ac:dyDescent="0.25">
      <c r="A56" s="2">
        <v>44631</v>
      </c>
      <c r="B56" s="2" t="str">
        <f>TEXT(Limpopo_poultry_hatchery_production_RAW3[[#This Row],[Week_Ending]], "mmm")</f>
        <v>Mar</v>
      </c>
      <c r="C56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  <c r="I56" t="s">
        <v>29</v>
      </c>
      <c r="J56" s="3">
        <v>22000</v>
      </c>
      <c r="K56" s="38" t="s">
        <v>30</v>
      </c>
      <c r="L56" s="5">
        <f>(Limpopo_poultry_hatchery_production_RAW3[[#This Row],[Eggs_Fertile]]/Limpopo_poultry_hatchery_production_RAW3[[#This Row],[Eggs_Set]])*100</f>
        <v>95</v>
      </c>
      <c r="M56" s="9">
        <v>19100</v>
      </c>
      <c r="N56" s="3">
        <f>(Limpopo_poultry_hatchery_production_RAW3[[#This Row],[Eggs_Hatched]]/Limpopo_poultry_hatchery_production_RAW3[[#This Row],[Eggs_Fertile]])*100</f>
        <v>91.387559808612437</v>
      </c>
      <c r="O56" s="3">
        <v>18700</v>
      </c>
      <c r="P56" s="3">
        <v>308</v>
      </c>
      <c r="Q56" s="3">
        <v>92</v>
      </c>
      <c r="R56" s="3">
        <f>(Limpopo_poultry_hatchery_production_RAW3[[#This Row],[Chicks_Culled]]/Limpopo_poultry_hatchery_production_RAW3[[#This Row],[Eggs_Hatched]])*100</f>
        <v>0.48167539267015708</v>
      </c>
      <c r="S56" s="3">
        <v>8800</v>
      </c>
      <c r="T56" s="40" t="s">
        <v>34</v>
      </c>
      <c r="U56" s="4">
        <v>37.799999999999997</v>
      </c>
      <c r="V56">
        <v>57</v>
      </c>
      <c r="W56" s="4">
        <v>14</v>
      </c>
      <c r="X56" t="s">
        <v>37</v>
      </c>
      <c r="Y56">
        <f>IF(Limpopo_poultry_hatchery_production_RAW3[[#This Row],[Biosecurity_Check]]="Pass",0,1)</f>
        <v>0</v>
      </c>
      <c r="Z56" t="str">
        <f>IF(Limpopo_poultry_hatchery_production_RAW3[[#This Row],[Hatchability_Pct]]&lt;91, "⚠ Low Hatchability","√ OK")</f>
        <v>√ OK</v>
      </c>
      <c r="AA56">
        <f>IF(Limpopo_poultry_hatchery_production_RAW3[[#This Row],[QC Flag]]="√ OK", 0, 1)</f>
        <v>0</v>
      </c>
      <c r="AC56" t="s">
        <v>39</v>
      </c>
    </row>
    <row r="57" spans="1:29" x14ac:dyDescent="0.25">
      <c r="A57" s="2">
        <v>44631</v>
      </c>
      <c r="B57" s="2" t="str">
        <f>TEXT(Limpopo_poultry_hatchery_production_RAW3[[#This Row],[Week_Ending]], "mmm")</f>
        <v>Mar</v>
      </c>
      <c r="C57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57" t="s">
        <v>40</v>
      </c>
      <c r="E57" t="s">
        <v>25</v>
      </c>
      <c r="F57" t="s">
        <v>26</v>
      </c>
      <c r="G57" t="s">
        <v>41</v>
      </c>
      <c r="H57" t="s">
        <v>42</v>
      </c>
      <c r="I57" t="s">
        <v>29</v>
      </c>
      <c r="J57" s="3">
        <v>18500</v>
      </c>
      <c r="K57" s="38" t="s">
        <v>122</v>
      </c>
      <c r="L57" s="5">
        <f>(Limpopo_poultry_hatchery_production_RAW3[[#This Row],[Eggs_Fertile]]/Limpopo_poultry_hatchery_production_RAW3[[#This Row],[Eggs_Set]])*100</f>
        <v>93</v>
      </c>
      <c r="M57" s="9">
        <v>15500</v>
      </c>
      <c r="N57" s="3">
        <f>(Limpopo_poultry_hatchery_production_RAW3[[#This Row],[Eggs_Hatched]]/Limpopo_poultry_hatchery_production_RAW3[[#This Row],[Eggs_Fertile]])*100</f>
        <v>90.090090090090087</v>
      </c>
      <c r="O57" s="3">
        <v>15100</v>
      </c>
      <c r="P57" s="3">
        <v>312</v>
      </c>
      <c r="Q57" s="3">
        <v>88</v>
      </c>
      <c r="R57" s="3">
        <f>(Limpopo_poultry_hatchery_production_RAW3[[#This Row],[Chicks_Culled]]/Limpopo_poultry_hatchery_production_RAW3[[#This Row],[Eggs_Hatched]])*100</f>
        <v>0.56774193548387097</v>
      </c>
      <c r="S57" s="3">
        <v>7400</v>
      </c>
      <c r="T57" s="40" t="s">
        <v>47</v>
      </c>
      <c r="U57" s="4">
        <v>37.9</v>
      </c>
      <c r="V57">
        <v>55</v>
      </c>
      <c r="W57" s="4">
        <v>19</v>
      </c>
      <c r="X57" t="s">
        <v>37</v>
      </c>
      <c r="Y57">
        <f>IF(Limpopo_poultry_hatchery_production_RAW3[[#This Row],[Biosecurity_Check]]="Pass",0,1)</f>
        <v>0</v>
      </c>
      <c r="Z57" t="str">
        <f>IF(Limpopo_poultry_hatchery_production_RAW3[[#This Row],[Hatchability_Pct]]&lt;91, "⚠ Low Hatchability","√ OK")</f>
        <v>⚠ Low Hatchability</v>
      </c>
      <c r="AA57">
        <f>IF(Limpopo_poultry_hatchery_production_RAW3[[#This Row],[QC Flag]]="√ OK", 0, 1)</f>
        <v>1</v>
      </c>
      <c r="AC57" t="s">
        <v>208</v>
      </c>
    </row>
    <row r="58" spans="1:29" x14ac:dyDescent="0.25">
      <c r="A58" s="2">
        <v>44631</v>
      </c>
      <c r="B58" s="2" t="str">
        <f>TEXT(Limpopo_poultry_hatchery_production_RAW3[[#This Row],[Week_Ending]], "mmm")</f>
        <v>Mar</v>
      </c>
      <c r="C58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58" t="s">
        <v>50</v>
      </c>
      <c r="E58" t="s">
        <v>51</v>
      </c>
      <c r="F58" t="s">
        <v>26</v>
      </c>
      <c r="G58" t="s">
        <v>52</v>
      </c>
      <c r="H58" t="s">
        <v>53</v>
      </c>
      <c r="I58" t="s">
        <v>54</v>
      </c>
      <c r="J58" s="3">
        <v>15000</v>
      </c>
      <c r="K58" s="38" t="s">
        <v>128</v>
      </c>
      <c r="L58" s="5">
        <f>(Limpopo_poultry_hatchery_production_RAW3[[#This Row],[Eggs_Fertile]]/Limpopo_poultry_hatchery_production_RAW3[[#This Row],[Eggs_Set]])*100</f>
        <v>93</v>
      </c>
      <c r="M58" s="9">
        <v>12500</v>
      </c>
      <c r="N58" s="3">
        <f>(Limpopo_poultry_hatchery_production_RAW3[[#This Row],[Eggs_Hatched]]/Limpopo_poultry_hatchery_production_RAW3[[#This Row],[Eggs_Fertile]])*100</f>
        <v>89.605734767025098</v>
      </c>
      <c r="O58" s="3">
        <v>12300</v>
      </c>
      <c r="P58" s="3">
        <v>182</v>
      </c>
      <c r="Q58" s="3">
        <v>18</v>
      </c>
      <c r="R58" s="3">
        <f>(Limpopo_poultry_hatchery_production_RAW3[[#This Row],[Chicks_Culled]]/Limpopo_poultry_hatchery_production_RAW3[[#This Row],[Eggs_Hatched]])*100</f>
        <v>0.14400000000000002</v>
      </c>
      <c r="S58" s="3">
        <v>6000</v>
      </c>
      <c r="T58" s="40" t="s">
        <v>58</v>
      </c>
      <c r="U58" s="4">
        <v>37.799999999999997</v>
      </c>
      <c r="V58">
        <v>56</v>
      </c>
      <c r="W58" s="4">
        <v>10</v>
      </c>
      <c r="X58" t="s">
        <v>37</v>
      </c>
      <c r="Y58">
        <f>IF(Limpopo_poultry_hatchery_production_RAW3[[#This Row],[Biosecurity_Check]]="Pass",0,1)</f>
        <v>0</v>
      </c>
      <c r="Z58" t="str">
        <f>IF(Limpopo_poultry_hatchery_production_RAW3[[#This Row],[Hatchability_Pct]]&lt;91, "⚠ Low Hatchability","√ OK")</f>
        <v>⚠ Low Hatchability</v>
      </c>
      <c r="AA58">
        <f>IF(Limpopo_poultry_hatchery_production_RAW3[[#This Row],[QC Flag]]="√ OK", 0, 1)</f>
        <v>1</v>
      </c>
      <c r="AC58" t="s">
        <v>211</v>
      </c>
    </row>
    <row r="59" spans="1:29" x14ac:dyDescent="0.25">
      <c r="A59" s="2">
        <v>44631</v>
      </c>
      <c r="B59" s="2" t="str">
        <f>TEXT(Limpopo_poultry_hatchery_production_RAW3[[#This Row],[Week_Ending]], "mmm")</f>
        <v>Mar</v>
      </c>
      <c r="C59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59" t="s">
        <v>62</v>
      </c>
      <c r="E59" t="s">
        <v>25</v>
      </c>
      <c r="F59" t="s">
        <v>63</v>
      </c>
      <c r="G59" t="s">
        <v>64</v>
      </c>
      <c r="H59" t="s">
        <v>65</v>
      </c>
      <c r="I59" t="s">
        <v>66</v>
      </c>
      <c r="J59" s="3">
        <v>25000</v>
      </c>
      <c r="K59" s="38">
        <f>Limpopo_poultry_hatchery_production_RAW3[[#This Row],[Eggs_Set]]*0.94</f>
        <v>23500</v>
      </c>
      <c r="L59" s="5">
        <f>(Limpopo_poultry_hatchery_production_RAW3[[#This Row],[Eggs_Fertile]]/Limpopo_poultry_hatchery_production_RAW3[[#This Row],[Eggs_Set]])*100</f>
        <v>94</v>
      </c>
      <c r="M59" s="9">
        <v>21600</v>
      </c>
      <c r="N59" s="3">
        <f>(Limpopo_poultry_hatchery_production_RAW3[[#This Row],[Eggs_Hatched]]/Limpopo_poultry_hatchery_production_RAW3[[#This Row],[Eggs_Fertile]])*100</f>
        <v>91.914893617021278</v>
      </c>
      <c r="O59" s="3">
        <v>21100</v>
      </c>
      <c r="P59" s="3">
        <v>372</v>
      </c>
      <c r="Q59" s="3">
        <v>128</v>
      </c>
      <c r="R59" s="3">
        <f>(Limpopo_poultry_hatchery_production_RAW3[[#This Row],[Chicks_Culled]]/Limpopo_poultry_hatchery_production_RAW3[[#This Row],[Eggs_Hatched]])*100</f>
        <v>0.59259259259259256</v>
      </c>
      <c r="S59" s="3">
        <v>10000</v>
      </c>
      <c r="T59" s="40" t="s">
        <v>69</v>
      </c>
      <c r="U59" s="4">
        <v>37.700000000000003</v>
      </c>
      <c r="V59">
        <v>57</v>
      </c>
      <c r="W59" s="4">
        <v>16</v>
      </c>
      <c r="X59" t="s">
        <v>37</v>
      </c>
      <c r="Y59">
        <f>IF(Limpopo_poultry_hatchery_production_RAW3[[#This Row],[Biosecurity_Check]]="Pass",0,1)</f>
        <v>0</v>
      </c>
      <c r="Z59" t="str">
        <f>IF(Limpopo_poultry_hatchery_production_RAW3[[#This Row],[Hatchability_Pct]]&lt;91, "⚠ Low Hatchability","√ OK")</f>
        <v>√ OK</v>
      </c>
      <c r="AA59">
        <f>IF(Limpopo_poultry_hatchery_production_RAW3[[#This Row],[QC Flag]]="√ OK", 0, 1)</f>
        <v>0</v>
      </c>
      <c r="AC59" t="s">
        <v>212</v>
      </c>
    </row>
    <row r="60" spans="1:29" x14ac:dyDescent="0.25">
      <c r="A60" s="2">
        <v>44631</v>
      </c>
      <c r="B60" s="2" t="str">
        <f>TEXT(Limpopo_poultry_hatchery_production_RAW3[[#This Row],[Week_Ending]], "mmm")</f>
        <v>Mar</v>
      </c>
      <c r="C60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60" t="s">
        <v>73</v>
      </c>
      <c r="E60" t="s">
        <v>74</v>
      </c>
      <c r="F60" t="s">
        <v>75</v>
      </c>
      <c r="G60" t="s">
        <v>76</v>
      </c>
      <c r="H60" t="s">
        <v>77</v>
      </c>
      <c r="I60" t="s">
        <v>29</v>
      </c>
      <c r="J60" s="3">
        <v>12000</v>
      </c>
      <c r="K60" s="38" t="s">
        <v>78</v>
      </c>
      <c r="L60" s="5">
        <f>(Limpopo_poultry_hatchery_production_RAW3[[#This Row],[Eggs_Fertile]]/Limpopo_poultry_hatchery_production_RAW3[[#This Row],[Eggs_Set]])*100</f>
        <v>95</v>
      </c>
      <c r="M60" s="9">
        <v>10500</v>
      </c>
      <c r="N60" s="3">
        <f>(Limpopo_poultry_hatchery_production_RAW3[[#This Row],[Eggs_Hatched]]/Limpopo_poultry_hatchery_production_RAW3[[#This Row],[Eggs_Fertile]])*100</f>
        <v>92.10526315789474</v>
      </c>
      <c r="O60" s="3">
        <v>10300</v>
      </c>
      <c r="P60" s="3">
        <v>160</v>
      </c>
      <c r="Q60" s="3">
        <v>40</v>
      </c>
      <c r="R60" s="3">
        <f>(Limpopo_poultry_hatchery_production_RAW3[[#This Row],[Chicks_Culled]]/Limpopo_poultry_hatchery_production_RAW3[[#This Row],[Eggs_Hatched]])*100</f>
        <v>0.38095238095238093</v>
      </c>
      <c r="S60" s="3">
        <v>4800</v>
      </c>
      <c r="T60" s="40" t="s">
        <v>81</v>
      </c>
      <c r="U60" s="4">
        <v>37.6</v>
      </c>
      <c r="V60">
        <v>57</v>
      </c>
      <c r="W60" s="4">
        <v>5</v>
      </c>
      <c r="X60" t="s">
        <v>37</v>
      </c>
      <c r="Y60">
        <f>IF(Limpopo_poultry_hatchery_production_RAW3[[#This Row],[Biosecurity_Check]]="Pass",0,1)</f>
        <v>0</v>
      </c>
      <c r="Z60" t="str">
        <f>IF(Limpopo_poultry_hatchery_production_RAW3[[#This Row],[Hatchability_Pct]]&lt;91, "⚠ Low Hatchability","√ OK")</f>
        <v>√ OK</v>
      </c>
      <c r="AA60">
        <f>IF(Limpopo_poultry_hatchery_production_RAW3[[#This Row],[QC Flag]]="√ OK", 0, 1)</f>
        <v>0</v>
      </c>
      <c r="AC60" t="s">
        <v>39</v>
      </c>
    </row>
    <row r="61" spans="1:29" x14ac:dyDescent="0.25">
      <c r="A61" s="2">
        <v>44631</v>
      </c>
      <c r="B61" s="2" t="str">
        <f>TEXT(Limpopo_poultry_hatchery_production_RAW3[[#This Row],[Week_Ending]], "mmm")</f>
        <v>Mar</v>
      </c>
      <c r="C61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61" t="s">
        <v>85</v>
      </c>
      <c r="E61" t="s">
        <v>25</v>
      </c>
      <c r="F61" t="s">
        <v>75</v>
      </c>
      <c r="G61" t="s">
        <v>86</v>
      </c>
      <c r="H61" t="s">
        <v>87</v>
      </c>
      <c r="I61" t="s">
        <v>66</v>
      </c>
      <c r="J61" s="3">
        <v>19000</v>
      </c>
      <c r="K61" s="38" t="s">
        <v>88</v>
      </c>
      <c r="L61" s="5">
        <f>(Limpopo_poultry_hatchery_production_RAW3[[#This Row],[Eggs_Fertile]]/Limpopo_poultry_hatchery_production_RAW3[[#This Row],[Eggs_Set]])*100</f>
        <v>94</v>
      </c>
      <c r="M61" s="9">
        <v>16300</v>
      </c>
      <c r="N61" s="3">
        <f>(Limpopo_poultry_hatchery_production_RAW3[[#This Row],[Eggs_Hatched]]/Limpopo_poultry_hatchery_production_RAW3[[#This Row],[Eggs_Fertile]])*100</f>
        <v>91.265397536394175</v>
      </c>
      <c r="O61" s="3">
        <v>15900</v>
      </c>
      <c r="P61" s="3">
        <v>296</v>
      </c>
      <c r="Q61" s="3">
        <v>104</v>
      </c>
      <c r="R61" s="3">
        <f>(Limpopo_poultry_hatchery_production_RAW3[[#This Row],[Chicks_Culled]]/Limpopo_poultry_hatchery_production_RAW3[[#This Row],[Eggs_Hatched]])*100</f>
        <v>0.6380368098159509</v>
      </c>
      <c r="S61" s="3">
        <v>7600</v>
      </c>
      <c r="T61" s="40" t="s">
        <v>91</v>
      </c>
      <c r="U61" s="4">
        <v>37.799999999999997</v>
      </c>
      <c r="V61">
        <v>56</v>
      </c>
      <c r="W61" s="4">
        <v>10</v>
      </c>
      <c r="X61" t="s">
        <v>37</v>
      </c>
      <c r="Y61">
        <f>IF(Limpopo_poultry_hatchery_production_RAW3[[#This Row],[Biosecurity_Check]]="Pass",0,1)</f>
        <v>0</v>
      </c>
      <c r="Z61" t="str">
        <f>IF(Limpopo_poultry_hatchery_production_RAW3[[#This Row],[Hatchability_Pct]]&lt;91, "⚠ Low Hatchability","√ OK")</f>
        <v>√ OK</v>
      </c>
      <c r="AA61">
        <f>IF(Limpopo_poultry_hatchery_production_RAW3[[#This Row],[QC Flag]]="√ OK", 0, 1)</f>
        <v>0</v>
      </c>
      <c r="AC61" t="s">
        <v>39</v>
      </c>
    </row>
    <row r="62" spans="1:29" x14ac:dyDescent="0.25">
      <c r="A62" s="2">
        <v>44638</v>
      </c>
      <c r="B62" s="2" t="str">
        <f>TEXT(Limpopo_poultry_hatchery_production_RAW3[[#This Row],[Week_Ending]], "mmm")</f>
        <v>Mar</v>
      </c>
      <c r="C62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62" t="s">
        <v>24</v>
      </c>
      <c r="E62" t="s">
        <v>25</v>
      </c>
      <c r="F62" t="s">
        <v>26</v>
      </c>
      <c r="G62" t="s">
        <v>27</v>
      </c>
      <c r="H62" t="s">
        <v>28</v>
      </c>
      <c r="I62" t="s">
        <v>29</v>
      </c>
      <c r="J62" s="3">
        <v>22000</v>
      </c>
      <c r="K62" s="38" t="s">
        <v>94</v>
      </c>
      <c r="L62" s="5">
        <f>(Limpopo_poultry_hatchery_production_RAW3[[#This Row],[Eggs_Fertile]]/Limpopo_poultry_hatchery_production_RAW3[[#This Row],[Eggs_Set]])*100</f>
        <v>96</v>
      </c>
      <c r="M62" s="9">
        <v>19400</v>
      </c>
      <c r="N62" s="3">
        <f>(Limpopo_poultry_hatchery_production_RAW3[[#This Row],[Eggs_Hatched]]/Limpopo_poultry_hatchery_production_RAW3[[#This Row],[Eggs_Fertile]])*100</f>
        <v>91.856060606060609</v>
      </c>
      <c r="O62" s="3">
        <v>19000</v>
      </c>
      <c r="P62" s="3">
        <v>296</v>
      </c>
      <c r="Q62" s="3">
        <v>104</v>
      </c>
      <c r="R62" s="3">
        <f>(Limpopo_poultry_hatchery_production_RAW3[[#This Row],[Chicks_Culled]]/Limpopo_poultry_hatchery_production_RAW3[[#This Row],[Eggs_Hatched]])*100</f>
        <v>0.53608247422680411</v>
      </c>
      <c r="S62" s="3">
        <v>8800</v>
      </c>
      <c r="T62" s="40" t="s">
        <v>34</v>
      </c>
      <c r="U62" s="4">
        <v>37.5</v>
      </c>
      <c r="V62">
        <v>59</v>
      </c>
      <c r="W62" s="4">
        <v>8</v>
      </c>
      <c r="X62" t="s">
        <v>37</v>
      </c>
      <c r="Y62">
        <f>IF(Limpopo_poultry_hatchery_production_RAW3[[#This Row],[Biosecurity_Check]]="Pass",0,1)</f>
        <v>0</v>
      </c>
      <c r="Z62" t="str">
        <f>IF(Limpopo_poultry_hatchery_production_RAW3[[#This Row],[Hatchability_Pct]]&lt;91, "⚠ Low Hatchability","√ OK")</f>
        <v>√ OK</v>
      </c>
      <c r="AA62">
        <f>IF(Limpopo_poultry_hatchery_production_RAW3[[#This Row],[QC Flag]]="√ OK", 0, 1)</f>
        <v>0</v>
      </c>
      <c r="AC62" t="s">
        <v>39</v>
      </c>
    </row>
    <row r="63" spans="1:29" x14ac:dyDescent="0.25">
      <c r="A63" s="2">
        <v>44638</v>
      </c>
      <c r="B63" s="2" t="str">
        <f>TEXT(Limpopo_poultry_hatchery_production_RAW3[[#This Row],[Week_Ending]], "mmm")</f>
        <v>Mar</v>
      </c>
      <c r="C63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63" t="s">
        <v>40</v>
      </c>
      <c r="E63" t="s">
        <v>25</v>
      </c>
      <c r="F63" t="s">
        <v>26</v>
      </c>
      <c r="G63" t="s">
        <v>41</v>
      </c>
      <c r="H63" t="s">
        <v>42</v>
      </c>
      <c r="I63" t="s">
        <v>29</v>
      </c>
      <c r="J63" s="3">
        <v>18500</v>
      </c>
      <c r="K63" s="38" t="s">
        <v>187</v>
      </c>
      <c r="L63" s="5">
        <f>(Limpopo_poultry_hatchery_production_RAW3[[#This Row],[Eggs_Fertile]]/Limpopo_poultry_hatchery_production_RAW3[[#This Row],[Eggs_Set]])*100</f>
        <v>95</v>
      </c>
      <c r="M63" s="9">
        <v>16000</v>
      </c>
      <c r="N63" s="3">
        <f>(Limpopo_poultry_hatchery_production_RAW3[[#This Row],[Eggs_Hatched]]/Limpopo_poultry_hatchery_production_RAW3[[#This Row],[Eggs_Fertile]])*100</f>
        <v>91.038406827880507</v>
      </c>
      <c r="O63" s="3">
        <v>15600</v>
      </c>
      <c r="P63" s="3">
        <v>305</v>
      </c>
      <c r="Q63" s="3">
        <v>95</v>
      </c>
      <c r="R63" s="3">
        <f>(Limpopo_poultry_hatchery_production_RAW3[[#This Row],[Chicks_Culled]]/Limpopo_poultry_hatchery_production_RAW3[[#This Row],[Eggs_Hatched]])*100</f>
        <v>0.59375</v>
      </c>
      <c r="S63" s="3">
        <v>7400</v>
      </c>
      <c r="T63" s="40" t="s">
        <v>47</v>
      </c>
      <c r="U63" s="4">
        <v>37.5</v>
      </c>
      <c r="V63">
        <v>59</v>
      </c>
      <c r="W63" s="4">
        <v>8</v>
      </c>
      <c r="X63" t="s">
        <v>37</v>
      </c>
      <c r="Y63">
        <f>IF(Limpopo_poultry_hatchery_production_RAW3[[#This Row],[Biosecurity_Check]]="Pass",0,1)</f>
        <v>0</v>
      </c>
      <c r="Z63" t="str">
        <f>IF(Limpopo_poultry_hatchery_production_RAW3[[#This Row],[Hatchability_Pct]]&lt;91, "⚠ Low Hatchability","√ OK")</f>
        <v>√ OK</v>
      </c>
      <c r="AA63">
        <f>IF(Limpopo_poultry_hatchery_production_RAW3[[#This Row],[QC Flag]]="√ OK", 0, 1)</f>
        <v>0</v>
      </c>
      <c r="AC63" t="s">
        <v>39</v>
      </c>
    </row>
    <row r="64" spans="1:29" x14ac:dyDescent="0.25">
      <c r="A64" s="2">
        <v>44638</v>
      </c>
      <c r="B64" s="2" t="str">
        <f>TEXT(Limpopo_poultry_hatchery_production_RAW3[[#This Row],[Week_Ending]], "mmm")</f>
        <v>Mar</v>
      </c>
      <c r="C64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64" t="s">
        <v>50</v>
      </c>
      <c r="E64" t="s">
        <v>51</v>
      </c>
      <c r="F64" t="s">
        <v>26</v>
      </c>
      <c r="G64" t="s">
        <v>52</v>
      </c>
      <c r="H64" t="s">
        <v>53</v>
      </c>
      <c r="I64" t="s">
        <v>54</v>
      </c>
      <c r="J64" s="3">
        <v>15000</v>
      </c>
      <c r="K64" s="38" t="s">
        <v>103</v>
      </c>
      <c r="L64" s="5">
        <f>(Limpopo_poultry_hatchery_production_RAW3[[#This Row],[Eggs_Fertile]]/Limpopo_poultry_hatchery_production_RAW3[[#This Row],[Eggs_Set]])*100</f>
        <v>95</v>
      </c>
      <c r="M64" s="9">
        <v>12920</v>
      </c>
      <c r="N64" s="3">
        <f>(Limpopo_poultry_hatchery_production_RAW3[[#This Row],[Eggs_Hatched]]/Limpopo_poultry_hatchery_production_RAW3[[#This Row],[Eggs_Fertile]])*100</f>
        <v>90.666666666666657</v>
      </c>
      <c r="O64" s="3">
        <v>12720</v>
      </c>
      <c r="P64" s="3">
        <v>168</v>
      </c>
      <c r="Q64" s="3">
        <v>32</v>
      </c>
      <c r="R64" s="3">
        <f>(Limpopo_poultry_hatchery_production_RAW3[[#This Row],[Chicks_Culled]]/Limpopo_poultry_hatchery_production_RAW3[[#This Row],[Eggs_Hatched]])*100</f>
        <v>0.24767801857585142</v>
      </c>
      <c r="S64" s="3">
        <v>6000</v>
      </c>
      <c r="T64" s="40" t="s">
        <v>58</v>
      </c>
      <c r="U64" s="4">
        <v>37.5</v>
      </c>
      <c r="V64">
        <v>59</v>
      </c>
      <c r="W64" s="4">
        <v>5</v>
      </c>
      <c r="X64" t="s">
        <v>37</v>
      </c>
      <c r="Y64">
        <f>IF(Limpopo_poultry_hatchery_production_RAW3[[#This Row],[Biosecurity_Check]]="Pass",0,1)</f>
        <v>0</v>
      </c>
      <c r="Z64" t="str">
        <f>IF(Limpopo_poultry_hatchery_production_RAW3[[#This Row],[Hatchability_Pct]]&lt;91, "⚠ Low Hatchability","√ OK")</f>
        <v>⚠ Low Hatchability</v>
      </c>
      <c r="AA64">
        <f>IF(Limpopo_poultry_hatchery_production_RAW3[[#This Row],[QC Flag]]="√ OK", 0, 1)</f>
        <v>1</v>
      </c>
      <c r="AC64" t="s">
        <v>39</v>
      </c>
    </row>
    <row r="65" spans="1:29" x14ac:dyDescent="0.25">
      <c r="A65" s="2">
        <v>44638</v>
      </c>
      <c r="B65" s="2" t="str">
        <f>TEXT(Limpopo_poultry_hatchery_production_RAW3[[#This Row],[Week_Ending]], "mmm")</f>
        <v>Mar</v>
      </c>
      <c r="C65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65" t="s">
        <v>62</v>
      </c>
      <c r="E65" t="s">
        <v>25</v>
      </c>
      <c r="F65" t="s">
        <v>63</v>
      </c>
      <c r="G65" t="s">
        <v>64</v>
      </c>
      <c r="H65" t="s">
        <v>65</v>
      </c>
      <c r="I65" t="s">
        <v>66</v>
      </c>
      <c r="J65" s="3">
        <v>25000</v>
      </c>
      <c r="K65" s="38" t="s">
        <v>108</v>
      </c>
      <c r="L65" s="5">
        <f>(Limpopo_poultry_hatchery_production_RAW3[[#This Row],[Eggs_Fertile]]/Limpopo_poultry_hatchery_production_RAW3[[#This Row],[Eggs_Set]])*100</f>
        <v>95</v>
      </c>
      <c r="M65" s="9">
        <v>21800</v>
      </c>
      <c r="N65" s="3">
        <f>(Limpopo_poultry_hatchery_production_RAW3[[#This Row],[Eggs_Hatched]]/Limpopo_poultry_hatchery_production_RAW3[[#This Row],[Eggs_Fertile]])*100</f>
        <v>91.78947368421052</v>
      </c>
      <c r="O65" s="3">
        <v>21300</v>
      </c>
      <c r="P65" s="3">
        <v>368</v>
      </c>
      <c r="Q65" s="3">
        <v>132</v>
      </c>
      <c r="R65" s="3">
        <f>(Limpopo_poultry_hatchery_production_RAW3[[#This Row],[Chicks_Culled]]/Limpopo_poultry_hatchery_production_RAW3[[#This Row],[Eggs_Hatched]])*100</f>
        <v>0.60550458715596334</v>
      </c>
      <c r="S65" s="3">
        <v>10000</v>
      </c>
      <c r="T65" s="40" t="s">
        <v>69</v>
      </c>
      <c r="U65" s="4">
        <v>37.5</v>
      </c>
      <c r="V65">
        <v>58</v>
      </c>
      <c r="W65" s="4">
        <v>11</v>
      </c>
      <c r="X65" t="s">
        <v>37</v>
      </c>
      <c r="Y65">
        <f>IF(Limpopo_poultry_hatchery_production_RAW3[[#This Row],[Biosecurity_Check]]="Pass",0,1)</f>
        <v>0</v>
      </c>
      <c r="Z65" t="str">
        <f>IF(Limpopo_poultry_hatchery_production_RAW3[[#This Row],[Hatchability_Pct]]&lt;91, "⚠ Low Hatchability","√ OK")</f>
        <v>√ OK</v>
      </c>
      <c r="AA65">
        <f>IF(Limpopo_poultry_hatchery_production_RAW3[[#This Row],[QC Flag]]="√ OK", 0, 1)</f>
        <v>0</v>
      </c>
      <c r="AC65" t="s">
        <v>39</v>
      </c>
    </row>
    <row r="66" spans="1:29" x14ac:dyDescent="0.25">
      <c r="A66" s="2">
        <v>44638</v>
      </c>
      <c r="B66" s="2" t="str">
        <f>TEXT(Limpopo_poultry_hatchery_production_RAW3[[#This Row],[Week_Ending]], "mmm")</f>
        <v>Mar</v>
      </c>
      <c r="C66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66" t="s">
        <v>73</v>
      </c>
      <c r="E66" t="s">
        <v>74</v>
      </c>
      <c r="F66" t="s">
        <v>75</v>
      </c>
      <c r="G66" t="s">
        <v>76</v>
      </c>
      <c r="H66" t="s">
        <v>77</v>
      </c>
      <c r="I66" t="s">
        <v>29</v>
      </c>
      <c r="J66" s="3">
        <v>12000</v>
      </c>
      <c r="K66" s="38" t="s">
        <v>112</v>
      </c>
      <c r="L66" s="5">
        <f>(Limpopo_poultry_hatchery_production_RAW3[[#This Row],[Eggs_Fertile]]/Limpopo_poultry_hatchery_production_RAW3[[#This Row],[Eggs_Set]])*100</f>
        <v>96</v>
      </c>
      <c r="M66" s="9">
        <v>10600</v>
      </c>
      <c r="N66" s="3">
        <f>(Limpopo_poultry_hatchery_production_RAW3[[#This Row],[Eggs_Hatched]]/Limpopo_poultry_hatchery_production_RAW3[[#This Row],[Eggs_Fertile]])*100</f>
        <v>92.013888888888886</v>
      </c>
      <c r="O66" s="3">
        <v>10400</v>
      </c>
      <c r="P66" s="3">
        <v>158</v>
      </c>
      <c r="Q66" s="3">
        <v>42</v>
      </c>
      <c r="R66" s="3">
        <f>(Limpopo_poultry_hatchery_production_RAW3[[#This Row],[Chicks_Culled]]/Limpopo_poultry_hatchery_production_RAW3[[#This Row],[Eggs_Hatched]])*100</f>
        <v>0.39622641509433959</v>
      </c>
      <c r="S66" s="3">
        <v>4800</v>
      </c>
      <c r="T66" s="40" t="s">
        <v>81</v>
      </c>
      <c r="U66" s="4">
        <v>37.5</v>
      </c>
      <c r="V66">
        <v>58</v>
      </c>
      <c r="W66" s="4">
        <v>3</v>
      </c>
      <c r="X66" t="s">
        <v>37</v>
      </c>
      <c r="Y66">
        <f>IF(Limpopo_poultry_hatchery_production_RAW3[[#This Row],[Biosecurity_Check]]="Pass",0,1)</f>
        <v>0</v>
      </c>
      <c r="Z66" t="str">
        <f>IF(Limpopo_poultry_hatchery_production_RAW3[[#This Row],[Hatchability_Pct]]&lt;91, "⚠ Low Hatchability","√ OK")</f>
        <v>√ OK</v>
      </c>
      <c r="AA66">
        <f>IF(Limpopo_poultry_hatchery_production_RAW3[[#This Row],[QC Flag]]="√ OK", 0, 1)</f>
        <v>0</v>
      </c>
      <c r="AC66" t="s">
        <v>39</v>
      </c>
    </row>
    <row r="67" spans="1:29" x14ac:dyDescent="0.25">
      <c r="A67" s="2">
        <v>44638</v>
      </c>
      <c r="B67" s="2" t="str">
        <f>TEXT(Limpopo_poultry_hatchery_production_RAW3[[#This Row],[Week_Ending]], "mmm")</f>
        <v>Mar</v>
      </c>
      <c r="C67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67" t="s">
        <v>85</v>
      </c>
      <c r="E67" t="s">
        <v>25</v>
      </c>
      <c r="F67" t="s">
        <v>75</v>
      </c>
      <c r="G67" t="s">
        <v>86</v>
      </c>
      <c r="H67" t="s">
        <v>87</v>
      </c>
      <c r="I67" t="s">
        <v>66</v>
      </c>
      <c r="J67" s="3">
        <v>19000</v>
      </c>
      <c r="K67" s="38" t="s">
        <v>193</v>
      </c>
      <c r="L67" s="5">
        <f>(Limpopo_poultry_hatchery_production_RAW3[[#This Row],[Eggs_Fertile]]/Limpopo_poultry_hatchery_production_RAW3[[#This Row],[Eggs_Set]])*100</f>
        <v>95</v>
      </c>
      <c r="M67" s="9">
        <v>16600</v>
      </c>
      <c r="N67" s="3">
        <f>(Limpopo_poultry_hatchery_production_RAW3[[#This Row],[Eggs_Hatched]]/Limpopo_poultry_hatchery_production_RAW3[[#This Row],[Eggs_Fertile]])*100</f>
        <v>91.966759002770075</v>
      </c>
      <c r="O67" s="3">
        <v>16200</v>
      </c>
      <c r="P67" s="3">
        <v>285</v>
      </c>
      <c r="Q67" s="3">
        <v>115</v>
      </c>
      <c r="R67" s="3">
        <f>(Limpopo_poultry_hatchery_production_RAW3[[#This Row],[Chicks_Culled]]/Limpopo_poultry_hatchery_production_RAW3[[#This Row],[Eggs_Hatched]])*100</f>
        <v>0.69277108433734935</v>
      </c>
      <c r="S67" s="3">
        <v>7600</v>
      </c>
      <c r="T67" s="40" t="s">
        <v>91</v>
      </c>
      <c r="U67" s="4">
        <v>37.6</v>
      </c>
      <c r="V67">
        <v>58</v>
      </c>
      <c r="W67" s="4">
        <v>7</v>
      </c>
      <c r="X67" t="s">
        <v>37</v>
      </c>
      <c r="Y67">
        <f>IF(Limpopo_poultry_hatchery_production_RAW3[[#This Row],[Biosecurity_Check]]="Pass",0,1)</f>
        <v>0</v>
      </c>
      <c r="Z67" t="str">
        <f>IF(Limpopo_poultry_hatchery_production_RAW3[[#This Row],[Hatchability_Pct]]&lt;91, "⚠ Low Hatchability","√ OK")</f>
        <v>√ OK</v>
      </c>
      <c r="AA67">
        <f>IF(Limpopo_poultry_hatchery_production_RAW3[[#This Row],[QC Flag]]="√ OK", 0, 1)</f>
        <v>0</v>
      </c>
      <c r="AC67" t="s">
        <v>39</v>
      </c>
    </row>
    <row r="68" spans="1:29" x14ac:dyDescent="0.25">
      <c r="A68" s="2">
        <v>44645</v>
      </c>
      <c r="B68" s="2" t="str">
        <f>TEXT(Limpopo_poultry_hatchery_production_RAW3[[#This Row],[Week_Ending]], "mmm")</f>
        <v>Mar</v>
      </c>
      <c r="C68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68" t="s">
        <v>24</v>
      </c>
      <c r="E68" t="s">
        <v>25</v>
      </c>
      <c r="F68" t="s">
        <v>26</v>
      </c>
      <c r="G68" t="s">
        <v>27</v>
      </c>
      <c r="H68" t="s">
        <v>28</v>
      </c>
      <c r="I68" t="s">
        <v>29</v>
      </c>
      <c r="J68" s="3">
        <v>22000</v>
      </c>
      <c r="K68" s="38" t="s">
        <v>30</v>
      </c>
      <c r="L68" s="5">
        <f>(Limpopo_poultry_hatchery_production_RAW3[[#This Row],[Eggs_Fertile]]/Limpopo_poultry_hatchery_production_RAW3[[#This Row],[Eggs_Set]])*100</f>
        <v>95</v>
      </c>
      <c r="M68" s="9">
        <v>19200</v>
      </c>
      <c r="N68" s="3">
        <f>(Limpopo_poultry_hatchery_production_RAW3[[#This Row],[Eggs_Hatched]]/Limpopo_poultry_hatchery_production_RAW3[[#This Row],[Eggs_Fertile]])*100</f>
        <v>91.866028708133967</v>
      </c>
      <c r="O68" s="3">
        <v>18800</v>
      </c>
      <c r="P68" s="3">
        <v>302</v>
      </c>
      <c r="Q68" s="3">
        <v>98</v>
      </c>
      <c r="R68" s="3">
        <f>(Limpopo_poultry_hatchery_production_RAW3[[#This Row],[Chicks_Culled]]/Limpopo_poultry_hatchery_production_RAW3[[#This Row],[Eggs_Hatched]])*100</f>
        <v>0.51041666666666663</v>
      </c>
      <c r="S68" s="3">
        <v>8800</v>
      </c>
      <c r="T68" s="40" t="s">
        <v>34</v>
      </c>
      <c r="U68" s="4">
        <v>37.6</v>
      </c>
      <c r="V68">
        <v>58</v>
      </c>
      <c r="W68" s="4">
        <v>10</v>
      </c>
      <c r="X68" t="s">
        <v>37</v>
      </c>
      <c r="Y68">
        <f>IF(Limpopo_poultry_hatchery_production_RAW3[[#This Row],[Biosecurity_Check]]="Pass",0,1)</f>
        <v>0</v>
      </c>
      <c r="Z68" t="str">
        <f>IF(Limpopo_poultry_hatchery_production_RAW3[[#This Row],[Hatchability_Pct]]&lt;91, "⚠ Low Hatchability","√ OK")</f>
        <v>√ OK</v>
      </c>
      <c r="AA68">
        <f>IF(Limpopo_poultry_hatchery_production_RAW3[[#This Row],[QC Flag]]="√ OK", 0, 1)</f>
        <v>0</v>
      </c>
      <c r="AB68" t="s">
        <v>143</v>
      </c>
      <c r="AC68" t="s">
        <v>39</v>
      </c>
    </row>
    <row r="69" spans="1:29" x14ac:dyDescent="0.25">
      <c r="A69" s="2">
        <v>44645</v>
      </c>
      <c r="B69" s="2" t="str">
        <f>TEXT(Limpopo_poultry_hatchery_production_RAW3[[#This Row],[Week_Ending]], "mmm")</f>
        <v>Mar</v>
      </c>
      <c r="C69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69" t="s">
        <v>40</v>
      </c>
      <c r="E69" t="s">
        <v>25</v>
      </c>
      <c r="F69" t="s">
        <v>26</v>
      </c>
      <c r="G69" t="s">
        <v>41</v>
      </c>
      <c r="H69" t="s">
        <v>42</v>
      </c>
      <c r="I69" t="s">
        <v>29</v>
      </c>
      <c r="J69" s="3">
        <v>18500</v>
      </c>
      <c r="K69" s="38" t="s">
        <v>43</v>
      </c>
      <c r="L69" s="5">
        <f>(Limpopo_poultry_hatchery_production_RAW3[[#This Row],[Eggs_Fertile]]/Limpopo_poultry_hatchery_production_RAW3[[#This Row],[Eggs_Set]])*100</f>
        <v>94</v>
      </c>
      <c r="M69" s="9">
        <v>15900</v>
      </c>
      <c r="N69" s="3">
        <f>(Limpopo_poultry_hatchery_production_RAW3[[#This Row],[Eggs_Hatched]]/Limpopo_poultry_hatchery_production_RAW3[[#This Row],[Eggs_Fertile]])*100</f>
        <v>91.431857389304199</v>
      </c>
      <c r="O69" s="3">
        <v>15500</v>
      </c>
      <c r="P69" s="3">
        <v>292</v>
      </c>
      <c r="Q69" s="3">
        <v>108</v>
      </c>
      <c r="R69" s="3">
        <f>(Limpopo_poultry_hatchery_production_RAW3[[#This Row],[Chicks_Culled]]/Limpopo_poultry_hatchery_production_RAW3[[#This Row],[Eggs_Hatched]])*100</f>
        <v>0.67924528301886788</v>
      </c>
      <c r="S69" s="3">
        <v>7400</v>
      </c>
      <c r="T69" s="40" t="s">
        <v>47</v>
      </c>
      <c r="U69" s="4">
        <v>37.6</v>
      </c>
      <c r="V69">
        <v>58</v>
      </c>
      <c r="W69" s="4">
        <v>9</v>
      </c>
      <c r="X69" t="s">
        <v>37</v>
      </c>
      <c r="Y69">
        <f>IF(Limpopo_poultry_hatchery_production_RAW3[[#This Row],[Biosecurity_Check]]="Pass",0,1)</f>
        <v>0</v>
      </c>
      <c r="Z69" t="str">
        <f>IF(Limpopo_poultry_hatchery_production_RAW3[[#This Row],[Hatchability_Pct]]&lt;91, "⚠ Low Hatchability","√ OK")</f>
        <v>√ OK</v>
      </c>
      <c r="AA69">
        <f>IF(Limpopo_poultry_hatchery_production_RAW3[[#This Row],[QC Flag]]="√ OK", 0, 1)</f>
        <v>0</v>
      </c>
      <c r="AB69" t="s">
        <v>143</v>
      </c>
      <c r="AC69" t="s">
        <v>39</v>
      </c>
    </row>
    <row r="70" spans="1:29" x14ac:dyDescent="0.25">
      <c r="A70" s="2">
        <v>44645</v>
      </c>
      <c r="B70" s="2" t="str">
        <f>TEXT(Limpopo_poultry_hatchery_production_RAW3[[#This Row],[Week_Ending]], "mmm")</f>
        <v>Mar</v>
      </c>
      <c r="C70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70" t="s">
        <v>50</v>
      </c>
      <c r="E70" t="s">
        <v>51</v>
      </c>
      <c r="F70" t="s">
        <v>26</v>
      </c>
      <c r="G70" t="s">
        <v>52</v>
      </c>
      <c r="H70" t="s">
        <v>53</v>
      </c>
      <c r="I70" t="s">
        <v>54</v>
      </c>
      <c r="J70" s="3">
        <v>15000</v>
      </c>
      <c r="K70" s="38" t="s">
        <v>55</v>
      </c>
      <c r="L70" s="5">
        <f>(Limpopo_poultry_hatchery_production_RAW3[[#This Row],[Eggs_Fertile]]/Limpopo_poultry_hatchery_production_RAW3[[#This Row],[Eggs_Set]])*100</f>
        <v>94</v>
      </c>
      <c r="M70" s="9">
        <v>12800</v>
      </c>
      <c r="N70" s="3">
        <f>(Limpopo_poultry_hatchery_production_RAW3[[#This Row],[Eggs_Hatched]]/Limpopo_poultry_hatchery_production_RAW3[[#This Row],[Eggs_Fertile]])*100</f>
        <v>90.780141843971634</v>
      </c>
      <c r="O70" s="3">
        <v>12600</v>
      </c>
      <c r="P70" s="3">
        <v>172</v>
      </c>
      <c r="Q70" s="3">
        <v>28</v>
      </c>
      <c r="R70" s="3">
        <f>(Limpopo_poultry_hatchery_production_RAW3[[#This Row],[Chicks_Culled]]/Limpopo_poultry_hatchery_production_RAW3[[#This Row],[Eggs_Hatched]])*100</f>
        <v>0.21875000000000003</v>
      </c>
      <c r="S70" s="3">
        <v>6000</v>
      </c>
      <c r="T70" s="40" t="s">
        <v>58</v>
      </c>
      <c r="U70" s="4">
        <v>37.5</v>
      </c>
      <c r="V70">
        <v>59</v>
      </c>
      <c r="W70" s="4">
        <v>6</v>
      </c>
      <c r="X70" t="s">
        <v>37</v>
      </c>
      <c r="Y70">
        <f>IF(Limpopo_poultry_hatchery_production_RAW3[[#This Row],[Biosecurity_Check]]="Pass",0,1)</f>
        <v>0</v>
      </c>
      <c r="Z70" t="str">
        <f>IF(Limpopo_poultry_hatchery_production_RAW3[[#This Row],[Hatchability_Pct]]&lt;91, "⚠ Low Hatchability","√ OK")</f>
        <v>⚠ Low Hatchability</v>
      </c>
      <c r="AA70">
        <f>IF(Limpopo_poultry_hatchery_production_RAW3[[#This Row],[QC Flag]]="√ OK", 0, 1)</f>
        <v>1</v>
      </c>
      <c r="AB70" t="s">
        <v>61</v>
      </c>
      <c r="AC70" t="s">
        <v>39</v>
      </c>
    </row>
    <row r="71" spans="1:29" x14ac:dyDescent="0.25">
      <c r="A71" s="2">
        <v>44645</v>
      </c>
      <c r="B71" s="2" t="str">
        <f>TEXT(Limpopo_poultry_hatchery_production_RAW3[[#This Row],[Week_Ending]], "mmm")</f>
        <v>Mar</v>
      </c>
      <c r="C71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71" t="s">
        <v>62</v>
      </c>
      <c r="E71" t="s">
        <v>25</v>
      </c>
      <c r="F71" t="s">
        <v>63</v>
      </c>
      <c r="G71" t="s">
        <v>64</v>
      </c>
      <c r="H71" t="s">
        <v>65</v>
      </c>
      <c r="I71" t="s">
        <v>66</v>
      </c>
      <c r="J71" s="3">
        <v>25000</v>
      </c>
      <c r="K71" s="38" t="s">
        <v>67</v>
      </c>
      <c r="L71" s="5">
        <f>(Limpopo_poultry_hatchery_production_RAW3[[#This Row],[Eggs_Fertile]]/Limpopo_poultry_hatchery_production_RAW3[[#This Row],[Eggs_Set]])*100</f>
        <v>94</v>
      </c>
      <c r="M71" s="9">
        <v>21600</v>
      </c>
      <c r="N71" s="3">
        <f>(Limpopo_poultry_hatchery_production_RAW3[[#This Row],[Eggs_Hatched]]/Limpopo_poultry_hatchery_production_RAW3[[#This Row],[Eggs_Fertile]])*100</f>
        <v>91.914893617021278</v>
      </c>
      <c r="O71" s="3">
        <v>21100</v>
      </c>
      <c r="P71" s="3">
        <v>378</v>
      </c>
      <c r="Q71" s="3">
        <v>122</v>
      </c>
      <c r="R71" s="3">
        <f>(Limpopo_poultry_hatchery_production_RAW3[[#This Row],[Chicks_Culled]]/Limpopo_poultry_hatchery_production_RAW3[[#This Row],[Eggs_Hatched]])*100</f>
        <v>0.56481481481481477</v>
      </c>
      <c r="S71" s="3">
        <v>10000</v>
      </c>
      <c r="T71" s="40" t="s">
        <v>69</v>
      </c>
      <c r="U71" s="4">
        <v>37.6</v>
      </c>
      <c r="V71">
        <v>58</v>
      </c>
      <c r="W71" s="4">
        <v>13</v>
      </c>
      <c r="X71" t="s">
        <v>37</v>
      </c>
      <c r="Y71">
        <f>IF(Limpopo_poultry_hatchery_production_RAW3[[#This Row],[Biosecurity_Check]]="Pass",0,1)</f>
        <v>0</v>
      </c>
      <c r="Z71" t="str">
        <f>IF(Limpopo_poultry_hatchery_production_RAW3[[#This Row],[Hatchability_Pct]]&lt;91, "⚠ Low Hatchability","√ OK")</f>
        <v>√ OK</v>
      </c>
      <c r="AA71">
        <f>IF(Limpopo_poultry_hatchery_production_RAW3[[#This Row],[QC Flag]]="√ OK", 0, 1)</f>
        <v>0</v>
      </c>
      <c r="AB71" t="s">
        <v>143</v>
      </c>
      <c r="AC71" t="s">
        <v>39</v>
      </c>
    </row>
    <row r="72" spans="1:29" x14ac:dyDescent="0.25">
      <c r="A72" s="2">
        <v>44645</v>
      </c>
      <c r="B72" s="2" t="str">
        <f>TEXT(Limpopo_poultry_hatchery_production_RAW3[[#This Row],[Week_Ending]], "mmm")</f>
        <v>Mar</v>
      </c>
      <c r="C72" s="2" t="str">
        <f>IF(OR(Limpopo_poultry_hatchery_production_RAW3[[#This Row],[Month]]="Jan", Limpopo_poultry_hatchery_production_RAW3[[#This Row],[Month]]="Feb", Limpopo_poultry_hatchery_production_RAW3[[#This Row],[Month]]="Mar"), "Q1", "Q2")</f>
        <v>Q1</v>
      </c>
      <c r="D72" t="s">
        <v>73</v>
      </c>
      <c r="E72" t="s">
        <v>74</v>
      </c>
      <c r="F72" t="s">
        <v>75</v>
      </c>
      <c r="G72" t="s">
        <v>76</v>
      </c>
      <c r="H72" t="s">
        <v>77</v>
      </c>
      <c r="I72" t="s">
        <v>29</v>
      </c>
      <c r="J72" s="3">
        <v>12000</v>
      </c>
      <c r="K72" s="38" t="s">
        <v>78</v>
      </c>
      <c r="L72" s="5">
        <f>(Limpopo_poultry_hatchery_production_RAW3[[#This Row],[Eggs_Fertile]]/Limpopo_poultry_hatchery_production_RAW3[[#This Row],[Eggs_Set]])*100</f>
        <v>95</v>
      </c>
      <c r="M72" s="9">
        <v>10500</v>
      </c>
      <c r="N72" s="3">
        <f>(Limpopo_poultry_hatchery_production_RAW3[[#This Row],[Eggs_Hatched]]/Limpopo_poultry_hatchery_production_RAW3[[#This Row],[Eggs_Fertile]])*100</f>
        <v>92.10526315789474</v>
      </c>
      <c r="O72" s="3">
        <v>10300</v>
      </c>
      <c r="P72" s="3">
        <v>155</v>
      </c>
      <c r="Q72" s="3">
        <v>45</v>
      </c>
      <c r="R72" s="3">
        <f>(Limpopo_poultry_hatchery_production_RAW3[[#This Row],[Chicks_Culled]]/Limpopo_poultry_hatchery_production_RAW3[[#This Row],[Eggs_Hatched]])*100</f>
        <v>0.4285714285714286</v>
      </c>
      <c r="S72" s="3">
        <v>4800</v>
      </c>
      <c r="T72" s="40" t="s">
        <v>81</v>
      </c>
      <c r="U72" s="4">
        <v>37.5</v>
      </c>
      <c r="V72">
        <v>58</v>
      </c>
      <c r="W72" s="4">
        <v>4</v>
      </c>
      <c r="X72" t="s">
        <v>37</v>
      </c>
      <c r="Y72">
        <f>IF(Limpopo_poultry_hatchery_production_RAW3[[#This Row],[Biosecurity_Check]]="Pass",0,1)</f>
        <v>0</v>
      </c>
      <c r="Z72" t="str">
        <f>IF(Limpopo_poultry_hatchery_production_RAW3[[#This Row],[Hatchability_Pct]]&lt;91, "⚠ Low Hatchability","√ OK")</f>
        <v>√ OK</v>
      </c>
      <c r="AA72">
        <f>IF(Limpopo_poultry_hatchery_production_RAW3[[#This Row],[QC Flag]]="√ OK", 0, 1)</f>
        <v>0</v>
      </c>
      <c r="AB72" t="s">
        <v>143</v>
      </c>
      <c r="AC72" t="s">
        <v>39</v>
      </c>
    </row>
    <row r="73" spans="1:29" x14ac:dyDescent="0.25">
      <c r="A73" s="2">
        <v>44659</v>
      </c>
      <c r="B73" s="2" t="str">
        <f>TEXT(Limpopo_poultry_hatchery_production_RAW3[[#This Row],[Week_Ending]], "mmm")</f>
        <v>Apr</v>
      </c>
      <c r="C73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73" t="s">
        <v>24</v>
      </c>
      <c r="E73" t="s">
        <v>25</v>
      </c>
      <c r="F73" t="s">
        <v>26</v>
      </c>
      <c r="G73" t="s">
        <v>27</v>
      </c>
      <c r="H73" t="s">
        <v>28</v>
      </c>
      <c r="I73" t="s">
        <v>29</v>
      </c>
      <c r="J73" s="3">
        <v>22000</v>
      </c>
      <c r="K73" s="38" t="s">
        <v>94</v>
      </c>
      <c r="L73" s="5">
        <f>(Limpopo_poultry_hatchery_production_RAW3[[#This Row],[Eggs_Fertile]]/Limpopo_poultry_hatchery_production_RAW3[[#This Row],[Eggs_Set]])*100</f>
        <v>96</v>
      </c>
      <c r="M73" s="9">
        <v>19500</v>
      </c>
      <c r="N73" s="3">
        <f>(Limpopo_poultry_hatchery_production_RAW3[[#This Row],[Eggs_Hatched]]/Limpopo_poultry_hatchery_production_RAW3[[#This Row],[Eggs_Fertile]])*100</f>
        <v>92.329545454545453</v>
      </c>
      <c r="O73" s="3">
        <v>19100</v>
      </c>
      <c r="P73" s="3">
        <v>288</v>
      </c>
      <c r="Q73" s="3">
        <v>112</v>
      </c>
      <c r="R73" s="3">
        <f>(Limpopo_poultry_hatchery_production_RAW3[[#This Row],[Chicks_Culled]]/Limpopo_poultry_hatchery_production_RAW3[[#This Row],[Eggs_Hatched]])*100</f>
        <v>0.57435897435897443</v>
      </c>
      <c r="S73" s="3">
        <v>8800</v>
      </c>
      <c r="T73" s="40" t="s">
        <v>34</v>
      </c>
      <c r="U73" s="4">
        <v>37.5</v>
      </c>
      <c r="V73">
        <v>59</v>
      </c>
      <c r="W73" s="4">
        <v>7</v>
      </c>
      <c r="X73" t="s">
        <v>37</v>
      </c>
      <c r="Y73">
        <f>IF(Limpopo_poultry_hatchery_production_RAW3[[#This Row],[Biosecurity_Check]]="Pass",0,1)</f>
        <v>0</v>
      </c>
      <c r="Z73" t="str">
        <f>IF(Limpopo_poultry_hatchery_production_RAW3[[#This Row],[Hatchability_Pct]]&lt;91, "⚠ Low Hatchability","√ OK")</f>
        <v>√ OK</v>
      </c>
      <c r="AA73">
        <f>IF(Limpopo_poultry_hatchery_production_RAW3[[#This Row],[QC Flag]]="√ OK", 0, 1)</f>
        <v>0</v>
      </c>
      <c r="AB73" t="s">
        <v>185</v>
      </c>
      <c r="AC73" t="s">
        <v>226</v>
      </c>
    </row>
    <row r="74" spans="1:29" x14ac:dyDescent="0.25">
      <c r="A74" s="2">
        <v>44659</v>
      </c>
      <c r="B74" s="2" t="str">
        <f>TEXT(Limpopo_poultry_hatchery_production_RAW3[[#This Row],[Week_Ending]], "mmm")</f>
        <v>Apr</v>
      </c>
      <c r="C74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74" t="s">
        <v>40</v>
      </c>
      <c r="E74" t="s">
        <v>25</v>
      </c>
      <c r="F74" t="s">
        <v>26</v>
      </c>
      <c r="G74" t="s">
        <v>41</v>
      </c>
      <c r="H74" t="s">
        <v>42</v>
      </c>
      <c r="I74" t="s">
        <v>29</v>
      </c>
      <c r="J74" s="3">
        <v>18500</v>
      </c>
      <c r="K74" s="38" t="s">
        <v>144</v>
      </c>
      <c r="L74" s="5">
        <f>(Limpopo_poultry_hatchery_production_RAW3[[#This Row],[Eggs_Fertile]]/Limpopo_poultry_hatchery_production_RAW3[[#This Row],[Eggs_Set]])*100</f>
        <v>97</v>
      </c>
      <c r="M74" s="9">
        <v>16500</v>
      </c>
      <c r="N74" s="3">
        <f>(Limpopo_poultry_hatchery_production_RAW3[[#This Row],[Eggs_Hatched]]/Limpopo_poultry_hatchery_production_RAW3[[#This Row],[Eggs_Fertile]])*100</f>
        <v>91.947617720813597</v>
      </c>
      <c r="O74" s="3">
        <v>16100</v>
      </c>
      <c r="P74" s="3">
        <v>302</v>
      </c>
      <c r="Q74" s="3">
        <v>98</v>
      </c>
      <c r="R74" s="3">
        <f>(Limpopo_poultry_hatchery_production_RAW3[[#This Row],[Chicks_Culled]]/Limpopo_poultry_hatchery_production_RAW3[[#This Row],[Eggs_Hatched]])*100</f>
        <v>0.59393939393939399</v>
      </c>
      <c r="S74" s="3">
        <v>7400</v>
      </c>
      <c r="T74" s="40" t="s">
        <v>47</v>
      </c>
      <c r="U74" s="4">
        <v>37.5</v>
      </c>
      <c r="V74">
        <v>59</v>
      </c>
      <c r="W74" s="4">
        <v>6</v>
      </c>
      <c r="X74" t="s">
        <v>37</v>
      </c>
      <c r="Y74">
        <f>IF(Limpopo_poultry_hatchery_production_RAW3[[#This Row],[Biosecurity_Check]]="Pass",0,1)</f>
        <v>0</v>
      </c>
      <c r="Z74" t="str">
        <f>IF(Limpopo_poultry_hatchery_production_RAW3[[#This Row],[Hatchability_Pct]]&lt;91, "⚠ Low Hatchability","√ OK")</f>
        <v>√ OK</v>
      </c>
      <c r="AA74">
        <f>IF(Limpopo_poultry_hatchery_production_RAW3[[#This Row],[QC Flag]]="√ OK", 0, 1)</f>
        <v>0</v>
      </c>
      <c r="AB74" t="s">
        <v>185</v>
      </c>
      <c r="AC74" t="s">
        <v>39</v>
      </c>
    </row>
    <row r="75" spans="1:29" x14ac:dyDescent="0.25">
      <c r="A75" s="2">
        <v>44659</v>
      </c>
      <c r="B75" s="2" t="str">
        <f>TEXT(Limpopo_poultry_hatchery_production_RAW3[[#This Row],[Week_Ending]], "mmm")</f>
        <v>Apr</v>
      </c>
      <c r="C75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75" t="s">
        <v>50</v>
      </c>
      <c r="E75" t="s">
        <v>51</v>
      </c>
      <c r="F75" t="s">
        <v>26</v>
      </c>
      <c r="G75" t="s">
        <v>52</v>
      </c>
      <c r="H75" t="s">
        <v>53</v>
      </c>
      <c r="I75" t="s">
        <v>54</v>
      </c>
      <c r="J75" s="3">
        <v>15000</v>
      </c>
      <c r="K75" s="38" t="s">
        <v>81</v>
      </c>
      <c r="L75" s="5">
        <f>(Limpopo_poultry_hatchery_production_RAW3[[#This Row],[Eggs_Fertile]]/Limpopo_poultry_hatchery_production_RAW3[[#This Row],[Eggs_Set]])*100</f>
        <v>96</v>
      </c>
      <c r="M75" s="9">
        <v>13100</v>
      </c>
      <c r="N75" s="3">
        <f>(Limpopo_poultry_hatchery_production_RAW3[[#This Row],[Eggs_Hatched]]/Limpopo_poultry_hatchery_production_RAW3[[#This Row],[Eggs_Fertile]])*100</f>
        <v>90.972222222222214</v>
      </c>
      <c r="O75" s="3">
        <v>12900</v>
      </c>
      <c r="P75" s="3">
        <v>166</v>
      </c>
      <c r="Q75" s="3">
        <v>34</v>
      </c>
      <c r="R75" s="3">
        <f>(Limpopo_poultry_hatchery_production_RAW3[[#This Row],[Chicks_Culled]]/Limpopo_poultry_hatchery_production_RAW3[[#This Row],[Eggs_Hatched]])*100</f>
        <v>0.25954198473282442</v>
      </c>
      <c r="S75" s="3">
        <v>6000</v>
      </c>
      <c r="T75" s="40" t="s">
        <v>58</v>
      </c>
      <c r="U75" s="4">
        <v>37.4</v>
      </c>
      <c r="V75">
        <v>60</v>
      </c>
      <c r="W75" s="4">
        <v>4</v>
      </c>
      <c r="X75" t="s">
        <v>37</v>
      </c>
      <c r="Y75">
        <f>IF(Limpopo_poultry_hatchery_production_RAW3[[#This Row],[Biosecurity_Check]]="Pass",0,1)</f>
        <v>0</v>
      </c>
      <c r="Z75" t="str">
        <f>IF(Limpopo_poultry_hatchery_production_RAW3[[#This Row],[Hatchability_Pct]]&lt;91, "⚠ Low Hatchability","√ OK")</f>
        <v>⚠ Low Hatchability</v>
      </c>
      <c r="AA75">
        <f>IF(Limpopo_poultry_hatchery_production_RAW3[[#This Row],[QC Flag]]="√ OK", 0, 1)</f>
        <v>1</v>
      </c>
      <c r="AB75" t="s">
        <v>191</v>
      </c>
      <c r="AC75" t="s">
        <v>39</v>
      </c>
    </row>
    <row r="76" spans="1:29" x14ac:dyDescent="0.25">
      <c r="A76" s="2">
        <v>44659</v>
      </c>
      <c r="B76" s="2" t="str">
        <f>TEXT(Limpopo_poultry_hatchery_production_RAW3[[#This Row],[Week_Ending]], "mmm")</f>
        <v>Apr</v>
      </c>
      <c r="C76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76" t="s">
        <v>62</v>
      </c>
      <c r="E76" t="s">
        <v>25</v>
      </c>
      <c r="F76" t="s">
        <v>63</v>
      </c>
      <c r="G76" t="s">
        <v>64</v>
      </c>
      <c r="H76" t="s">
        <v>65</v>
      </c>
      <c r="I76" t="s">
        <v>66</v>
      </c>
      <c r="J76" s="3">
        <v>25000</v>
      </c>
      <c r="K76" s="38" t="s">
        <v>150</v>
      </c>
      <c r="L76" s="5">
        <f>(Limpopo_poultry_hatchery_production_RAW3[[#This Row],[Eggs_Fertile]]/Limpopo_poultry_hatchery_production_RAW3[[#This Row],[Eggs_Set]])*100</f>
        <v>96</v>
      </c>
      <c r="M76" s="9">
        <v>22100</v>
      </c>
      <c r="N76" s="3">
        <f>(Limpopo_poultry_hatchery_production_RAW3[[#This Row],[Eggs_Hatched]]/Limpopo_poultry_hatchery_production_RAW3[[#This Row],[Eggs_Fertile]])*100</f>
        <v>92.083333333333329</v>
      </c>
      <c r="O76" s="3">
        <v>21600</v>
      </c>
      <c r="P76" s="3">
        <v>358</v>
      </c>
      <c r="Q76" s="3">
        <v>142</v>
      </c>
      <c r="R76" s="3">
        <f>(Limpopo_poultry_hatchery_production_RAW3[[#This Row],[Chicks_Culled]]/Limpopo_poultry_hatchery_production_RAW3[[#This Row],[Eggs_Hatched]])*100</f>
        <v>0.64253393665158376</v>
      </c>
      <c r="S76" s="3">
        <v>10000</v>
      </c>
      <c r="T76" s="40" t="s">
        <v>69</v>
      </c>
      <c r="U76" s="4">
        <v>37.5</v>
      </c>
      <c r="V76">
        <v>58</v>
      </c>
      <c r="W76" s="4">
        <v>10</v>
      </c>
      <c r="X76" t="s">
        <v>37</v>
      </c>
      <c r="Y76">
        <f>IF(Limpopo_poultry_hatchery_production_RAW3[[#This Row],[Biosecurity_Check]]="Pass",0,1)</f>
        <v>0</v>
      </c>
      <c r="Z76" t="str">
        <f>IF(Limpopo_poultry_hatchery_production_RAW3[[#This Row],[Hatchability_Pct]]&lt;91, "⚠ Low Hatchability","√ OK")</f>
        <v>√ OK</v>
      </c>
      <c r="AA76">
        <f>IF(Limpopo_poultry_hatchery_production_RAW3[[#This Row],[QC Flag]]="√ OK", 0, 1)</f>
        <v>0</v>
      </c>
      <c r="AB76" t="s">
        <v>185</v>
      </c>
      <c r="AC76" t="s">
        <v>39</v>
      </c>
    </row>
    <row r="77" spans="1:29" x14ac:dyDescent="0.25">
      <c r="A77" s="2">
        <v>44659</v>
      </c>
      <c r="B77" s="2" t="str">
        <f>TEXT(Limpopo_poultry_hatchery_production_RAW3[[#This Row],[Week_Ending]], "mmm")</f>
        <v>Apr</v>
      </c>
      <c r="C77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77" t="s">
        <v>73</v>
      </c>
      <c r="E77" t="s">
        <v>74</v>
      </c>
      <c r="F77" t="s">
        <v>75</v>
      </c>
      <c r="G77" t="s">
        <v>76</v>
      </c>
      <c r="H77" t="s">
        <v>77</v>
      </c>
      <c r="I77" t="s">
        <v>29</v>
      </c>
      <c r="J77" s="3">
        <v>12000</v>
      </c>
      <c r="K77" s="38" t="s">
        <v>153</v>
      </c>
      <c r="L77" s="5">
        <f>(Limpopo_poultry_hatchery_production_RAW3[[#This Row],[Eggs_Fertile]]/Limpopo_poultry_hatchery_production_RAW3[[#This Row],[Eggs_Set]])*100</f>
        <v>97</v>
      </c>
      <c r="M77" s="9">
        <v>10700</v>
      </c>
      <c r="N77" s="3">
        <f>(Limpopo_poultry_hatchery_production_RAW3[[#This Row],[Eggs_Hatched]]/Limpopo_poultry_hatchery_production_RAW3[[#This Row],[Eggs_Fertile]])*100</f>
        <v>91.924398625429546</v>
      </c>
      <c r="O77" s="3">
        <v>10500</v>
      </c>
      <c r="P77" s="3">
        <v>150</v>
      </c>
      <c r="Q77" s="3">
        <v>50</v>
      </c>
      <c r="R77" s="3">
        <f>(Limpopo_poultry_hatchery_production_RAW3[[#This Row],[Chicks_Culled]]/Limpopo_poultry_hatchery_production_RAW3[[#This Row],[Eggs_Hatched]])*100</f>
        <v>0.46728971962616817</v>
      </c>
      <c r="S77" s="3">
        <v>4800</v>
      </c>
      <c r="T77" s="40" t="s">
        <v>81</v>
      </c>
      <c r="U77" s="4">
        <v>37.5</v>
      </c>
      <c r="V77">
        <v>58</v>
      </c>
      <c r="W77" s="4">
        <v>3</v>
      </c>
      <c r="X77" t="s">
        <v>37</v>
      </c>
      <c r="Y77">
        <f>IF(Limpopo_poultry_hatchery_production_RAW3[[#This Row],[Biosecurity_Check]]="Pass",0,1)</f>
        <v>0</v>
      </c>
      <c r="Z77" t="str">
        <f>IF(Limpopo_poultry_hatchery_production_RAW3[[#This Row],[Hatchability_Pct]]&lt;91, "⚠ Low Hatchability","√ OK")</f>
        <v>√ OK</v>
      </c>
      <c r="AA77">
        <f>IF(Limpopo_poultry_hatchery_production_RAW3[[#This Row],[QC Flag]]="√ OK", 0, 1)</f>
        <v>0</v>
      </c>
      <c r="AB77" t="s">
        <v>192</v>
      </c>
      <c r="AC77" t="s">
        <v>39</v>
      </c>
    </row>
    <row r="78" spans="1:29" x14ac:dyDescent="0.25">
      <c r="A78" s="2">
        <v>44659</v>
      </c>
      <c r="B78" s="2" t="str">
        <f>TEXT(Limpopo_poultry_hatchery_production_RAW3[[#This Row],[Week_Ending]], "mmm")</f>
        <v>Apr</v>
      </c>
      <c r="C78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78" t="s">
        <v>85</v>
      </c>
      <c r="E78" t="s">
        <v>25</v>
      </c>
      <c r="F78" t="s">
        <v>75</v>
      </c>
      <c r="G78" t="s">
        <v>86</v>
      </c>
      <c r="H78" t="s">
        <v>87</v>
      </c>
      <c r="I78" t="s">
        <v>66</v>
      </c>
      <c r="J78" s="3">
        <v>19000</v>
      </c>
      <c r="K78" s="38" t="s">
        <v>157</v>
      </c>
      <c r="L78" s="5">
        <f>(Limpopo_poultry_hatchery_production_RAW3[[#This Row],[Eggs_Fertile]]/Limpopo_poultry_hatchery_production_RAW3[[#This Row],[Eggs_Set]])*100</f>
        <v>97</v>
      </c>
      <c r="M78" s="9">
        <v>16900</v>
      </c>
      <c r="N78" s="3">
        <f>(Limpopo_poultry_hatchery_production_RAW3[[#This Row],[Eggs_Hatched]]/Limpopo_poultry_hatchery_production_RAW3[[#This Row],[Eggs_Fertile]])*100</f>
        <v>91.698317959848069</v>
      </c>
      <c r="O78" s="3">
        <v>16500</v>
      </c>
      <c r="P78" s="3">
        <v>282</v>
      </c>
      <c r="Q78" s="3">
        <v>118</v>
      </c>
      <c r="R78" s="3">
        <f>(Limpopo_poultry_hatchery_production_RAW3[[#This Row],[Chicks_Culled]]/Limpopo_poultry_hatchery_production_RAW3[[#This Row],[Eggs_Hatched]])*100</f>
        <v>0.69822485207100593</v>
      </c>
      <c r="S78" s="3">
        <v>7600</v>
      </c>
      <c r="T78" s="40" t="s">
        <v>91</v>
      </c>
      <c r="U78" s="4">
        <v>37.6</v>
      </c>
      <c r="V78">
        <v>58</v>
      </c>
      <c r="W78" s="4">
        <v>6</v>
      </c>
      <c r="X78" t="s">
        <v>37</v>
      </c>
      <c r="Y78">
        <f>IF(Limpopo_poultry_hatchery_production_RAW3[[#This Row],[Biosecurity_Check]]="Pass",0,1)</f>
        <v>0</v>
      </c>
      <c r="Z78" t="str">
        <f>IF(Limpopo_poultry_hatchery_production_RAW3[[#This Row],[Hatchability_Pct]]&lt;91, "⚠ Low Hatchability","√ OK")</f>
        <v>√ OK</v>
      </c>
      <c r="AA78">
        <f>IF(Limpopo_poultry_hatchery_production_RAW3[[#This Row],[QC Flag]]="√ OK", 0, 1)</f>
        <v>0</v>
      </c>
      <c r="AB78" t="s">
        <v>185</v>
      </c>
      <c r="AC78" t="s">
        <v>39</v>
      </c>
    </row>
    <row r="79" spans="1:29" x14ac:dyDescent="0.25">
      <c r="A79" s="2">
        <v>44666</v>
      </c>
      <c r="B79" s="2" t="str">
        <f>TEXT(Limpopo_poultry_hatchery_production_RAW3[[#This Row],[Week_Ending]], "mmm")</f>
        <v>Apr</v>
      </c>
      <c r="C79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29</v>
      </c>
      <c r="J79" s="3">
        <v>22000</v>
      </c>
      <c r="K79" s="38" t="s">
        <v>119</v>
      </c>
      <c r="L79" s="5">
        <f>(Limpopo_poultry_hatchery_production_RAW3[[#This Row],[Eggs_Fertile]]/Limpopo_poultry_hatchery_production_RAW3[[#This Row],[Eggs_Set]])*100</f>
        <v>94</v>
      </c>
      <c r="M79" s="9">
        <v>18900</v>
      </c>
      <c r="N79" s="3">
        <f>(Limpopo_poultry_hatchery_production_RAW3[[#This Row],[Eggs_Hatched]]/Limpopo_poultry_hatchery_production_RAW3[[#This Row],[Eggs_Fertile]])*100</f>
        <v>91.392649903288202</v>
      </c>
      <c r="O79" s="3">
        <v>18500</v>
      </c>
      <c r="P79" s="3">
        <v>312</v>
      </c>
      <c r="Q79" s="3">
        <v>88</v>
      </c>
      <c r="R79" s="3">
        <f>(Limpopo_poultry_hatchery_production_RAW3[[#This Row],[Chicks_Culled]]/Limpopo_poultry_hatchery_production_RAW3[[#This Row],[Eggs_Hatched]])*100</f>
        <v>0.46560846560846558</v>
      </c>
      <c r="S79" s="3">
        <v>8800</v>
      </c>
      <c r="T79" s="40" t="s">
        <v>34</v>
      </c>
      <c r="U79" s="4">
        <v>37.700000000000003</v>
      </c>
      <c r="V79">
        <v>57</v>
      </c>
      <c r="W79" s="4">
        <v>12</v>
      </c>
      <c r="X79" t="s">
        <v>37</v>
      </c>
      <c r="Y79">
        <f>IF(Limpopo_poultry_hatchery_production_RAW3[[#This Row],[Biosecurity_Check]]="Pass",0,1)</f>
        <v>0</v>
      </c>
      <c r="Z79" t="str">
        <f>IF(Limpopo_poultry_hatchery_production_RAW3[[#This Row],[Hatchability_Pct]]&lt;91, "⚠ Low Hatchability","√ OK")</f>
        <v>√ OK</v>
      </c>
      <c r="AA79">
        <f>IF(Limpopo_poultry_hatchery_production_RAW3[[#This Row],[QC Flag]]="√ OK", 0, 1)</f>
        <v>0</v>
      </c>
      <c r="AC79" t="s">
        <v>39</v>
      </c>
    </row>
    <row r="80" spans="1:29" x14ac:dyDescent="0.25">
      <c r="A80" s="2">
        <v>44666</v>
      </c>
      <c r="B80" s="2" t="str">
        <f>TEXT(Limpopo_poultry_hatchery_production_RAW3[[#This Row],[Week_Ending]], "mmm")</f>
        <v>Apr</v>
      </c>
      <c r="C80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80" t="s">
        <v>40</v>
      </c>
      <c r="E80" t="s">
        <v>25</v>
      </c>
      <c r="F80" t="s">
        <v>26</v>
      </c>
      <c r="G80" t="s">
        <v>41</v>
      </c>
      <c r="H80" t="s">
        <v>42</v>
      </c>
      <c r="I80" t="s">
        <v>29</v>
      </c>
      <c r="J80" s="3">
        <v>18500</v>
      </c>
      <c r="K80" s="38" t="s">
        <v>122</v>
      </c>
      <c r="L80" s="5">
        <f>(Limpopo_poultry_hatchery_production_RAW3[[#This Row],[Eggs_Fertile]]/Limpopo_poultry_hatchery_production_RAW3[[#This Row],[Eggs_Set]])*100</f>
        <v>93</v>
      </c>
      <c r="M80" s="9">
        <v>15600</v>
      </c>
      <c r="N80" s="3">
        <f>(Limpopo_poultry_hatchery_production_RAW3[[#This Row],[Eggs_Hatched]]/Limpopo_poultry_hatchery_production_RAW3[[#This Row],[Eggs_Fertile]])*100</f>
        <v>90.671316477768087</v>
      </c>
      <c r="O80" s="3">
        <v>15200</v>
      </c>
      <c r="P80" s="3">
        <v>308</v>
      </c>
      <c r="Q80" s="3">
        <v>92</v>
      </c>
      <c r="R80" s="3">
        <f>(Limpopo_poultry_hatchery_production_RAW3[[#This Row],[Chicks_Culled]]/Limpopo_poultry_hatchery_production_RAW3[[#This Row],[Eggs_Hatched]])*100</f>
        <v>0.58974358974358976</v>
      </c>
      <c r="S80" s="3">
        <v>7400</v>
      </c>
      <c r="T80" s="40" t="s">
        <v>47</v>
      </c>
      <c r="U80" s="4">
        <v>37.799999999999997</v>
      </c>
      <c r="V80">
        <v>56</v>
      </c>
      <c r="W80" s="4">
        <v>15</v>
      </c>
      <c r="X80" t="s">
        <v>37</v>
      </c>
      <c r="Y80">
        <f>IF(Limpopo_poultry_hatchery_production_RAW3[[#This Row],[Biosecurity_Check]]="Pass",0,1)</f>
        <v>0</v>
      </c>
      <c r="Z80" t="str">
        <f>IF(Limpopo_poultry_hatchery_production_RAW3[[#This Row],[Hatchability_Pct]]&lt;91, "⚠ Low Hatchability","√ OK")</f>
        <v>⚠ Low Hatchability</v>
      </c>
      <c r="AA80">
        <f>IF(Limpopo_poultry_hatchery_production_RAW3[[#This Row],[QC Flag]]="√ OK", 0, 1)</f>
        <v>1</v>
      </c>
      <c r="AC80" t="s">
        <v>39</v>
      </c>
    </row>
    <row r="81" spans="1:29" x14ac:dyDescent="0.25">
      <c r="A81" s="2">
        <v>44666</v>
      </c>
      <c r="B81" s="2" t="str">
        <f>TEXT(Limpopo_poultry_hatchery_production_RAW3[[#This Row],[Week_Ending]], "mmm")</f>
        <v>Apr</v>
      </c>
      <c r="C81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81" t="s">
        <v>50</v>
      </c>
      <c r="E81" t="s">
        <v>51</v>
      </c>
      <c r="F81" t="s">
        <v>26</v>
      </c>
      <c r="G81" t="s">
        <v>52</v>
      </c>
      <c r="H81" t="s">
        <v>53</v>
      </c>
      <c r="I81" t="s">
        <v>54</v>
      </c>
      <c r="J81" s="3">
        <v>15000</v>
      </c>
      <c r="K81" s="38" t="s">
        <v>128</v>
      </c>
      <c r="L81" s="5">
        <f>(Limpopo_poultry_hatchery_production_RAW3[[#This Row],[Eggs_Fertile]]/Limpopo_poultry_hatchery_production_RAW3[[#This Row],[Eggs_Set]])*100</f>
        <v>93</v>
      </c>
      <c r="M81" s="9">
        <v>12550</v>
      </c>
      <c r="N81" s="3">
        <f>(Limpopo_poultry_hatchery_production_RAW3[[#This Row],[Eggs_Hatched]]/Limpopo_poultry_hatchery_production_RAW3[[#This Row],[Eggs_Fertile]])*100</f>
        <v>89.964157706093189</v>
      </c>
      <c r="O81" s="3">
        <v>12350</v>
      </c>
      <c r="P81" s="3">
        <v>180</v>
      </c>
      <c r="Q81" s="3">
        <v>20</v>
      </c>
      <c r="R81" s="3">
        <f>(Limpopo_poultry_hatchery_production_RAW3[[#This Row],[Chicks_Culled]]/Limpopo_poultry_hatchery_production_RAW3[[#This Row],[Eggs_Hatched]])*100</f>
        <v>0.15936254980079681</v>
      </c>
      <c r="S81" s="3">
        <v>6000</v>
      </c>
      <c r="T81" s="40" t="s">
        <v>58</v>
      </c>
      <c r="U81" s="4">
        <v>37.700000000000003</v>
      </c>
      <c r="V81">
        <v>57</v>
      </c>
      <c r="W81" s="4">
        <v>8</v>
      </c>
      <c r="X81" t="s">
        <v>37</v>
      </c>
      <c r="Y81">
        <f>IF(Limpopo_poultry_hatchery_production_RAW3[[#This Row],[Biosecurity_Check]]="Pass",0,1)</f>
        <v>0</v>
      </c>
      <c r="Z81" t="str">
        <f>IF(Limpopo_poultry_hatchery_production_RAW3[[#This Row],[Hatchability_Pct]]&lt;91, "⚠ Low Hatchability","√ OK")</f>
        <v>⚠ Low Hatchability</v>
      </c>
      <c r="AA81">
        <f>IF(Limpopo_poultry_hatchery_production_RAW3[[#This Row],[QC Flag]]="√ OK", 0, 1)</f>
        <v>1</v>
      </c>
      <c r="AC81" t="s">
        <v>39</v>
      </c>
    </row>
    <row r="82" spans="1:29" x14ac:dyDescent="0.25">
      <c r="A82" s="2">
        <v>44666</v>
      </c>
      <c r="B82" s="2" t="str">
        <f>TEXT(Limpopo_poultry_hatchery_production_RAW3[[#This Row],[Week_Ending]], "mmm")</f>
        <v>Apr</v>
      </c>
      <c r="C82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82" t="s">
        <v>62</v>
      </c>
      <c r="E82" t="s">
        <v>25</v>
      </c>
      <c r="F82" t="s">
        <v>63</v>
      </c>
      <c r="G82" t="s">
        <v>64</v>
      </c>
      <c r="H82" t="s">
        <v>65</v>
      </c>
      <c r="I82" t="s">
        <v>66</v>
      </c>
      <c r="J82" s="3">
        <v>25000</v>
      </c>
      <c r="K82" s="38" t="s">
        <v>172</v>
      </c>
      <c r="L82" s="5">
        <f>(Limpopo_poultry_hatchery_production_RAW3[[#This Row],[Eggs_Fertile]]/Limpopo_poultry_hatchery_production_RAW3[[#This Row],[Eggs_Set]])*100</f>
        <v>93</v>
      </c>
      <c r="M82" s="9">
        <v>21100</v>
      </c>
      <c r="N82" s="3">
        <f>(Limpopo_poultry_hatchery_production_RAW3[[#This Row],[Eggs_Hatched]]/Limpopo_poultry_hatchery_production_RAW3[[#This Row],[Eggs_Fertile]])*100</f>
        <v>90.752688172043008</v>
      </c>
      <c r="O82" s="3">
        <v>20600</v>
      </c>
      <c r="P82" s="3">
        <v>390</v>
      </c>
      <c r="Q82" s="3">
        <v>110</v>
      </c>
      <c r="R82" s="3">
        <f>(Limpopo_poultry_hatchery_production_RAW3[[#This Row],[Chicks_Culled]]/Limpopo_poultry_hatchery_production_RAW3[[#This Row],[Eggs_Hatched]])*100</f>
        <v>0.52132701421800953</v>
      </c>
      <c r="S82" s="3">
        <v>10000</v>
      </c>
      <c r="T82" s="40" t="s">
        <v>69</v>
      </c>
      <c r="U82" s="4">
        <v>37.799999999999997</v>
      </c>
      <c r="V82">
        <v>56</v>
      </c>
      <c r="W82" s="4">
        <v>21</v>
      </c>
      <c r="X82" t="s">
        <v>37</v>
      </c>
      <c r="Y82">
        <f>IF(Limpopo_poultry_hatchery_production_RAW3[[#This Row],[Biosecurity_Check]]="Pass",0,1)</f>
        <v>0</v>
      </c>
      <c r="Z82" t="str">
        <f>IF(Limpopo_poultry_hatchery_production_RAW3[[#This Row],[Hatchability_Pct]]&lt;91, "⚠ Low Hatchability","√ OK")</f>
        <v>⚠ Low Hatchability</v>
      </c>
      <c r="AA82">
        <f>IF(Limpopo_poultry_hatchery_production_RAW3[[#This Row],[QC Flag]]="√ OK", 0, 1)</f>
        <v>1</v>
      </c>
      <c r="AC82" t="s">
        <v>232</v>
      </c>
    </row>
    <row r="83" spans="1:29" x14ac:dyDescent="0.25">
      <c r="A83" s="2">
        <v>44666</v>
      </c>
      <c r="B83" s="2" t="str">
        <f>TEXT(Limpopo_poultry_hatchery_production_RAW3[[#This Row],[Week_Ending]], "mmm")</f>
        <v>Apr</v>
      </c>
      <c r="C83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83" t="s">
        <v>73</v>
      </c>
      <c r="E83" t="s">
        <v>74</v>
      </c>
      <c r="F83" t="s">
        <v>75</v>
      </c>
      <c r="G83" t="s">
        <v>76</v>
      </c>
      <c r="H83" t="s">
        <v>77</v>
      </c>
      <c r="I83" t="s">
        <v>29</v>
      </c>
      <c r="J83" s="3">
        <v>12000</v>
      </c>
      <c r="K83" s="38" t="s">
        <v>176</v>
      </c>
      <c r="L83" s="5">
        <f>(Limpopo_poultry_hatchery_production_RAW3[[#This Row],[Eggs_Fertile]]/Limpopo_poultry_hatchery_production_RAW3[[#This Row],[Eggs_Set]])*100</f>
        <v>93</v>
      </c>
      <c r="M83" s="9">
        <v>10200</v>
      </c>
      <c r="N83" s="3">
        <f>(Limpopo_poultry_hatchery_production_RAW3[[#This Row],[Eggs_Hatched]]/Limpopo_poultry_hatchery_production_RAW3[[#This Row],[Eggs_Fertile]])*100</f>
        <v>91.397849462365585</v>
      </c>
      <c r="O83" s="3">
        <v>10000</v>
      </c>
      <c r="P83" s="3">
        <v>165</v>
      </c>
      <c r="Q83" s="3">
        <v>35</v>
      </c>
      <c r="R83" s="3">
        <f>(Limpopo_poultry_hatchery_production_RAW3[[#This Row],[Chicks_Culled]]/Limpopo_poultry_hatchery_production_RAW3[[#This Row],[Eggs_Hatched]])*100</f>
        <v>0.34313725490196079</v>
      </c>
      <c r="S83" s="3">
        <v>4800</v>
      </c>
      <c r="T83" s="40" t="s">
        <v>81</v>
      </c>
      <c r="U83" s="4">
        <v>37.700000000000003</v>
      </c>
      <c r="V83">
        <v>56</v>
      </c>
      <c r="W83" s="4">
        <v>6</v>
      </c>
      <c r="X83" t="s">
        <v>37</v>
      </c>
      <c r="Y83">
        <f>IF(Limpopo_poultry_hatchery_production_RAW3[[#This Row],[Biosecurity_Check]]="Pass",0,1)</f>
        <v>0</v>
      </c>
      <c r="Z83" t="str">
        <f>IF(Limpopo_poultry_hatchery_production_RAW3[[#This Row],[Hatchability_Pct]]&lt;91, "⚠ Low Hatchability","√ OK")</f>
        <v>√ OK</v>
      </c>
      <c r="AA83">
        <f>IF(Limpopo_poultry_hatchery_production_RAW3[[#This Row],[QC Flag]]="√ OK", 0, 1)</f>
        <v>0</v>
      </c>
      <c r="AC83" t="s">
        <v>39</v>
      </c>
    </row>
    <row r="84" spans="1:29" x14ac:dyDescent="0.25">
      <c r="A84" s="2">
        <v>44666</v>
      </c>
      <c r="B84" s="2" t="str">
        <f>TEXT(Limpopo_poultry_hatchery_production_RAW3[[#This Row],[Week_Ending]], "mmm")</f>
        <v>Apr</v>
      </c>
      <c r="C84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84" t="s">
        <v>85</v>
      </c>
      <c r="E84" t="s">
        <v>25</v>
      </c>
      <c r="F84" t="s">
        <v>75</v>
      </c>
      <c r="G84" t="s">
        <v>86</v>
      </c>
      <c r="H84" t="s">
        <v>87</v>
      </c>
      <c r="I84" t="s">
        <v>66</v>
      </c>
      <c r="J84">
        <v>19000</v>
      </c>
      <c r="K84" s="38" t="s">
        <v>178</v>
      </c>
      <c r="L84" s="5">
        <f>(Limpopo_poultry_hatchery_production_RAW3[[#This Row],[Eggs_Fertile]]/Limpopo_poultry_hatchery_production_RAW3[[#This Row],[Eggs_Set]])*100</f>
        <v>91</v>
      </c>
      <c r="M84" s="5">
        <v>15700</v>
      </c>
      <c r="N84" s="3">
        <f>(Limpopo_poultry_hatchery_production_RAW3[[#This Row],[Eggs_Hatched]]/Limpopo_poultry_hatchery_production_RAW3[[#This Row],[Eggs_Fertile]])*100</f>
        <v>90.803932909196078</v>
      </c>
      <c r="O84" s="3">
        <v>15300</v>
      </c>
      <c r="P84" s="3">
        <v>302</v>
      </c>
      <c r="Q84" s="3">
        <v>98</v>
      </c>
      <c r="R84" s="3">
        <f>(Limpopo_poultry_hatchery_production_RAW3[[#This Row],[Chicks_Culled]]/Limpopo_poultry_hatchery_production_RAW3[[#This Row],[Eggs_Hatched]])*100</f>
        <v>0.62420382165605093</v>
      </c>
      <c r="S84" s="3">
        <v>7600</v>
      </c>
      <c r="T84" s="40" t="s">
        <v>91</v>
      </c>
      <c r="U84">
        <v>37.9</v>
      </c>
      <c r="V84">
        <v>55</v>
      </c>
      <c r="W84">
        <v>14</v>
      </c>
      <c r="X84" t="s">
        <v>244</v>
      </c>
      <c r="Y84">
        <f>IF(Limpopo_poultry_hatchery_production_RAW3[[#This Row],[Biosecurity_Check]]="Pass",0,1)</f>
        <v>1</v>
      </c>
      <c r="Z84" t="str">
        <f>IF(Limpopo_poultry_hatchery_production_RAW3[[#This Row],[Hatchability_Pct]]&lt;91, "⚠ Low Hatchability","√ OK")</f>
        <v>⚠ Low Hatchability</v>
      </c>
      <c r="AA84">
        <f>IF(Limpopo_poultry_hatchery_production_RAW3[[#This Row],[QC Flag]]="√ OK", 0, 1)</f>
        <v>1</v>
      </c>
      <c r="AC84" t="s">
        <v>233</v>
      </c>
    </row>
    <row r="85" spans="1:29" x14ac:dyDescent="0.25">
      <c r="A85" s="2">
        <v>44673</v>
      </c>
      <c r="B85" s="2" t="str">
        <f>TEXT(Limpopo_poultry_hatchery_production_RAW3[[#This Row],[Week_Ending]], "mmm")</f>
        <v>Apr</v>
      </c>
      <c r="C85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85" t="s">
        <v>24</v>
      </c>
      <c r="E85" t="s">
        <v>25</v>
      </c>
      <c r="F85" t="s">
        <v>26</v>
      </c>
      <c r="G85" t="s">
        <v>27</v>
      </c>
      <c r="H85" t="s">
        <v>28</v>
      </c>
      <c r="I85" t="s">
        <v>29</v>
      </c>
      <c r="J85" s="3">
        <v>22000</v>
      </c>
      <c r="K85" s="38" t="s">
        <v>94</v>
      </c>
      <c r="L85" s="5">
        <f>(Limpopo_poultry_hatchery_production_RAW3[[#This Row],[Eggs_Fertile]]/Limpopo_poultry_hatchery_production_RAW3[[#This Row],[Eggs_Set]])*100</f>
        <v>96</v>
      </c>
      <c r="M85" s="9">
        <v>19400</v>
      </c>
      <c r="N85" s="3">
        <f>(Limpopo_poultry_hatchery_production_RAW3[[#This Row],[Eggs_Hatched]]/Limpopo_poultry_hatchery_production_RAW3[[#This Row],[Eggs_Fertile]])*100</f>
        <v>91.856060606060609</v>
      </c>
      <c r="O85" s="3">
        <v>19000</v>
      </c>
      <c r="P85" s="3">
        <v>298</v>
      </c>
      <c r="Q85" s="3">
        <v>102</v>
      </c>
      <c r="R85" s="3">
        <f>(Limpopo_poultry_hatchery_production_RAW3[[#This Row],[Chicks_Culled]]/Limpopo_poultry_hatchery_production_RAW3[[#This Row],[Eggs_Hatched]])*100</f>
        <v>0.52577319587628868</v>
      </c>
      <c r="S85" s="3">
        <v>8800</v>
      </c>
      <c r="T85" s="40" t="s">
        <v>34</v>
      </c>
      <c r="U85" s="4">
        <v>37.5</v>
      </c>
      <c r="V85">
        <v>59</v>
      </c>
      <c r="W85" s="4">
        <v>8</v>
      </c>
      <c r="X85" t="s">
        <v>37</v>
      </c>
      <c r="Y85">
        <f>IF(Limpopo_poultry_hatchery_production_RAW3[[#This Row],[Biosecurity_Check]]="Pass",0,1)</f>
        <v>0</v>
      </c>
      <c r="Z85" t="str">
        <f>IF(Limpopo_poultry_hatchery_production_RAW3[[#This Row],[Hatchability_Pct]]&lt;91, "⚠ Low Hatchability","√ OK")</f>
        <v>√ OK</v>
      </c>
      <c r="AA85">
        <f>IF(Limpopo_poultry_hatchery_production_RAW3[[#This Row],[QC Flag]]="√ OK", 0, 1)</f>
        <v>0</v>
      </c>
      <c r="AC85" t="s">
        <v>39</v>
      </c>
    </row>
    <row r="86" spans="1:29" x14ac:dyDescent="0.25">
      <c r="A86" s="2">
        <v>44673</v>
      </c>
      <c r="B86" s="2" t="str">
        <f>TEXT(Limpopo_poultry_hatchery_production_RAW3[[#This Row],[Week_Ending]], "mmm")</f>
        <v>Apr</v>
      </c>
      <c r="C86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86" t="s">
        <v>40</v>
      </c>
      <c r="E86" t="s">
        <v>25</v>
      </c>
      <c r="F86" t="s">
        <v>26</v>
      </c>
      <c r="G86" t="s">
        <v>41</v>
      </c>
      <c r="H86" t="s">
        <v>42</v>
      </c>
      <c r="I86" t="s">
        <v>29</v>
      </c>
      <c r="J86" s="3">
        <v>18500</v>
      </c>
      <c r="K86" s="38" t="s">
        <v>187</v>
      </c>
      <c r="L86" s="5">
        <f>(Limpopo_poultry_hatchery_production_RAW3[[#This Row],[Eggs_Fertile]]/Limpopo_poultry_hatchery_production_RAW3[[#This Row],[Eggs_Set]])*100</f>
        <v>95</v>
      </c>
      <c r="M86" s="9">
        <v>16000</v>
      </c>
      <c r="N86" s="3">
        <f>(Limpopo_poultry_hatchery_production_RAW3[[#This Row],[Eggs_Hatched]]/Limpopo_poultry_hatchery_production_RAW3[[#This Row],[Eggs_Fertile]])*100</f>
        <v>91.038406827880507</v>
      </c>
      <c r="O86" s="3">
        <v>15600</v>
      </c>
      <c r="P86" s="3">
        <v>308</v>
      </c>
      <c r="Q86" s="3">
        <v>92</v>
      </c>
      <c r="R86" s="3">
        <f>(Limpopo_poultry_hatchery_production_RAW3[[#This Row],[Chicks_Culled]]/Limpopo_poultry_hatchery_production_RAW3[[#This Row],[Eggs_Hatched]])*100</f>
        <v>0.57499999999999996</v>
      </c>
      <c r="S86" s="3">
        <v>7400</v>
      </c>
      <c r="T86" s="40" t="s">
        <v>47</v>
      </c>
      <c r="U86" s="4">
        <v>37.6</v>
      </c>
      <c r="V86">
        <v>58</v>
      </c>
      <c r="W86" s="4">
        <v>9</v>
      </c>
      <c r="X86" t="s">
        <v>37</v>
      </c>
      <c r="Y86">
        <f>IF(Limpopo_poultry_hatchery_production_RAW3[[#This Row],[Biosecurity_Check]]="Pass",0,1)</f>
        <v>0</v>
      </c>
      <c r="Z86" t="str">
        <f>IF(Limpopo_poultry_hatchery_production_RAW3[[#This Row],[Hatchability_Pct]]&lt;91, "⚠ Low Hatchability","√ OK")</f>
        <v>√ OK</v>
      </c>
      <c r="AA86">
        <f>IF(Limpopo_poultry_hatchery_production_RAW3[[#This Row],[QC Flag]]="√ OK", 0, 1)</f>
        <v>0</v>
      </c>
      <c r="AC86" t="s">
        <v>39</v>
      </c>
    </row>
    <row r="87" spans="1:29" x14ac:dyDescent="0.25">
      <c r="A87" s="2">
        <v>44673</v>
      </c>
      <c r="B87" s="2" t="str">
        <f>TEXT(Limpopo_poultry_hatchery_production_RAW3[[#This Row],[Week_Ending]], "mmm")</f>
        <v>Apr</v>
      </c>
      <c r="C87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87" t="s">
        <v>50</v>
      </c>
      <c r="E87" t="s">
        <v>51</v>
      </c>
      <c r="F87" t="s">
        <v>26</v>
      </c>
      <c r="G87" t="s">
        <v>52</v>
      </c>
      <c r="H87" t="s">
        <v>53</v>
      </c>
      <c r="I87" t="s">
        <v>54</v>
      </c>
      <c r="J87" s="3">
        <v>15000</v>
      </c>
      <c r="K87" s="38" t="s">
        <v>103</v>
      </c>
      <c r="L87" s="5">
        <f>(Limpopo_poultry_hatchery_production_RAW3[[#This Row],[Eggs_Fertile]]/Limpopo_poultry_hatchery_production_RAW3[[#This Row],[Eggs_Set]])*100</f>
        <v>95</v>
      </c>
      <c r="M87" s="9">
        <v>12900</v>
      </c>
      <c r="N87" s="3">
        <f>(Limpopo_poultry_hatchery_production_RAW3[[#This Row],[Eggs_Hatched]]/Limpopo_poultry_hatchery_production_RAW3[[#This Row],[Eggs_Fertile]])*100</f>
        <v>90.526315789473685</v>
      </c>
      <c r="O87" s="3">
        <v>12700</v>
      </c>
      <c r="P87" s="3">
        <v>170</v>
      </c>
      <c r="Q87" s="3">
        <v>30</v>
      </c>
      <c r="R87" s="3">
        <f>(Limpopo_poultry_hatchery_production_RAW3[[#This Row],[Chicks_Culled]]/Limpopo_poultry_hatchery_production_RAW3[[#This Row],[Eggs_Hatched]])*100</f>
        <v>0.23255813953488372</v>
      </c>
      <c r="S87" s="3">
        <v>6000</v>
      </c>
      <c r="T87" s="40" t="s">
        <v>58</v>
      </c>
      <c r="U87" s="4">
        <v>37.5</v>
      </c>
      <c r="V87">
        <v>59</v>
      </c>
      <c r="W87" s="4">
        <v>5</v>
      </c>
      <c r="X87" t="s">
        <v>37</v>
      </c>
      <c r="Y87">
        <f>IF(Limpopo_poultry_hatchery_production_RAW3[[#This Row],[Biosecurity_Check]]="Pass",0,1)</f>
        <v>0</v>
      </c>
      <c r="Z87" t="str">
        <f>IF(Limpopo_poultry_hatchery_production_RAW3[[#This Row],[Hatchability_Pct]]&lt;91, "⚠ Low Hatchability","√ OK")</f>
        <v>⚠ Low Hatchability</v>
      </c>
      <c r="AA87">
        <f>IF(Limpopo_poultry_hatchery_production_RAW3[[#This Row],[QC Flag]]="√ OK", 0, 1)</f>
        <v>1</v>
      </c>
      <c r="AC87" t="s">
        <v>39</v>
      </c>
    </row>
    <row r="88" spans="1:29" x14ac:dyDescent="0.25">
      <c r="A88" s="2">
        <v>44673</v>
      </c>
      <c r="B88" s="2" t="str">
        <f>TEXT(Limpopo_poultry_hatchery_production_RAW3[[#This Row],[Week_Ending]], "mmm")</f>
        <v>Apr</v>
      </c>
      <c r="C88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88" t="s">
        <v>62</v>
      </c>
      <c r="E88" t="s">
        <v>25</v>
      </c>
      <c r="F88" t="s">
        <v>63</v>
      </c>
      <c r="G88" t="s">
        <v>64</v>
      </c>
      <c r="H88" t="s">
        <v>65</v>
      </c>
      <c r="I88" t="s">
        <v>66</v>
      </c>
      <c r="J88" s="3">
        <v>25000</v>
      </c>
      <c r="K88" s="38" t="s">
        <v>108</v>
      </c>
      <c r="L88" s="5">
        <f>(Limpopo_poultry_hatchery_production_RAW3[[#This Row],[Eggs_Fertile]]/Limpopo_poultry_hatchery_production_RAW3[[#This Row],[Eggs_Set]])*100</f>
        <v>95</v>
      </c>
      <c r="M88" s="9">
        <v>21800</v>
      </c>
      <c r="N88" s="3">
        <f>(Limpopo_poultry_hatchery_production_RAW3[[#This Row],[Eggs_Hatched]]/Limpopo_poultry_hatchery_production_RAW3[[#This Row],[Eggs_Fertile]])*100</f>
        <v>91.78947368421052</v>
      </c>
      <c r="O88" s="3">
        <v>21300</v>
      </c>
      <c r="P88" s="3">
        <v>370</v>
      </c>
      <c r="Q88" s="3">
        <v>130</v>
      </c>
      <c r="R88" s="3">
        <f>(Limpopo_poultry_hatchery_production_RAW3[[#This Row],[Chicks_Culled]]/Limpopo_poultry_hatchery_production_RAW3[[#This Row],[Eggs_Hatched]])*100</f>
        <v>0.59633027522935778</v>
      </c>
      <c r="S88" s="3">
        <v>10000</v>
      </c>
      <c r="T88" s="40" t="s">
        <v>69</v>
      </c>
      <c r="U88" s="4">
        <v>37.5</v>
      </c>
      <c r="V88">
        <v>58</v>
      </c>
      <c r="W88" s="4">
        <v>12</v>
      </c>
      <c r="X88" t="s">
        <v>37</v>
      </c>
      <c r="Y88">
        <f>IF(Limpopo_poultry_hatchery_production_RAW3[[#This Row],[Biosecurity_Check]]="Pass",0,1)</f>
        <v>0</v>
      </c>
      <c r="Z88" t="str">
        <f>IF(Limpopo_poultry_hatchery_production_RAW3[[#This Row],[Hatchability_Pct]]&lt;91, "⚠ Low Hatchability","√ OK")</f>
        <v>√ OK</v>
      </c>
      <c r="AA88">
        <f>IF(Limpopo_poultry_hatchery_production_RAW3[[#This Row],[QC Flag]]="√ OK", 0, 1)</f>
        <v>0</v>
      </c>
      <c r="AC88" t="s">
        <v>39</v>
      </c>
    </row>
    <row r="89" spans="1:29" x14ac:dyDescent="0.25">
      <c r="A89" s="2">
        <v>44673</v>
      </c>
      <c r="B89" s="2" t="str">
        <f>TEXT(Limpopo_poultry_hatchery_production_RAW3[[#This Row],[Week_Ending]], "mmm")</f>
        <v>Apr</v>
      </c>
      <c r="C89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89" t="s">
        <v>73</v>
      </c>
      <c r="E89" t="s">
        <v>74</v>
      </c>
      <c r="F89" t="s">
        <v>75</v>
      </c>
      <c r="G89" t="s">
        <v>76</v>
      </c>
      <c r="H89" t="s">
        <v>77</v>
      </c>
      <c r="I89" t="s">
        <v>29</v>
      </c>
      <c r="J89" s="3">
        <v>12000</v>
      </c>
      <c r="K89" s="38" t="s">
        <v>112</v>
      </c>
      <c r="L89" s="5">
        <f>(Limpopo_poultry_hatchery_production_RAW3[[#This Row],[Eggs_Fertile]]/Limpopo_poultry_hatchery_production_RAW3[[#This Row],[Eggs_Set]])*100</f>
        <v>96</v>
      </c>
      <c r="M89" s="9">
        <v>10600</v>
      </c>
      <c r="N89" s="3">
        <f>(Limpopo_poultry_hatchery_production_RAW3[[#This Row],[Eggs_Hatched]]/Limpopo_poultry_hatchery_production_RAW3[[#This Row],[Eggs_Fertile]])*100</f>
        <v>92.013888888888886</v>
      </c>
      <c r="O89" s="3">
        <v>10400</v>
      </c>
      <c r="P89" s="3">
        <v>158</v>
      </c>
      <c r="Q89" s="3">
        <v>42</v>
      </c>
      <c r="R89" s="3">
        <f>(Limpopo_poultry_hatchery_production_RAW3[[#This Row],[Chicks_Culled]]/Limpopo_poultry_hatchery_production_RAW3[[#This Row],[Eggs_Hatched]])*100</f>
        <v>0.39622641509433959</v>
      </c>
      <c r="S89" s="3">
        <v>4800</v>
      </c>
      <c r="T89" s="40" t="s">
        <v>81</v>
      </c>
      <c r="U89" s="4">
        <v>37.5</v>
      </c>
      <c r="V89">
        <v>58</v>
      </c>
      <c r="W89" s="4">
        <v>3</v>
      </c>
      <c r="X89" t="s">
        <v>37</v>
      </c>
      <c r="Y89">
        <f>IF(Limpopo_poultry_hatchery_production_RAW3[[#This Row],[Biosecurity_Check]]="Pass",0,1)</f>
        <v>0</v>
      </c>
      <c r="Z89" t="str">
        <f>IF(Limpopo_poultry_hatchery_production_RAW3[[#This Row],[Hatchability_Pct]]&lt;91, "⚠ Low Hatchability","√ OK")</f>
        <v>√ OK</v>
      </c>
      <c r="AA89">
        <f>IF(Limpopo_poultry_hatchery_production_RAW3[[#This Row],[QC Flag]]="√ OK", 0, 1)</f>
        <v>0</v>
      </c>
      <c r="AC89" t="s">
        <v>39</v>
      </c>
    </row>
    <row r="90" spans="1:29" x14ac:dyDescent="0.25">
      <c r="A90" s="2">
        <v>44673</v>
      </c>
      <c r="B90" s="2" t="str">
        <f>TEXT(Limpopo_poultry_hatchery_production_RAW3[[#This Row],[Week_Ending]], "mmm")</f>
        <v>Apr</v>
      </c>
      <c r="C90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90" t="s">
        <v>85</v>
      </c>
      <c r="E90" t="s">
        <v>25</v>
      </c>
      <c r="F90" t="s">
        <v>75</v>
      </c>
      <c r="G90" t="s">
        <v>86</v>
      </c>
      <c r="H90" t="s">
        <v>87</v>
      </c>
      <c r="I90" t="s">
        <v>66</v>
      </c>
      <c r="J90" s="3">
        <v>19000</v>
      </c>
      <c r="K90" s="38" t="s">
        <v>193</v>
      </c>
      <c r="L90" s="5">
        <f>(Limpopo_poultry_hatchery_production_RAW3[[#This Row],[Eggs_Fertile]]/Limpopo_poultry_hatchery_production_RAW3[[#This Row],[Eggs_Set]])*100</f>
        <v>95</v>
      </c>
      <c r="M90" s="9">
        <v>16600</v>
      </c>
      <c r="N90" s="3">
        <f>(Limpopo_poultry_hatchery_production_RAW3[[#This Row],[Eggs_Hatched]]/Limpopo_poultry_hatchery_production_RAW3[[#This Row],[Eggs_Fertile]])*100</f>
        <v>91.966759002770075</v>
      </c>
      <c r="O90" s="3">
        <v>16200</v>
      </c>
      <c r="P90" s="3">
        <v>286</v>
      </c>
      <c r="Q90" s="3">
        <v>114</v>
      </c>
      <c r="R90" s="3">
        <f>(Limpopo_poultry_hatchery_production_RAW3[[#This Row],[Chicks_Culled]]/Limpopo_poultry_hatchery_production_RAW3[[#This Row],[Eggs_Hatched]])*100</f>
        <v>0.68674698795180722</v>
      </c>
      <c r="S90" s="3">
        <v>7600</v>
      </c>
      <c r="T90" s="40" t="s">
        <v>91</v>
      </c>
      <c r="U90" s="4">
        <v>37.6</v>
      </c>
      <c r="V90">
        <v>58</v>
      </c>
      <c r="W90" s="4">
        <v>7</v>
      </c>
      <c r="X90" t="s">
        <v>37</v>
      </c>
      <c r="Y90">
        <f>IF(Limpopo_poultry_hatchery_production_RAW3[[#This Row],[Biosecurity_Check]]="Pass",0,1)</f>
        <v>0</v>
      </c>
      <c r="Z90" t="str">
        <f>IF(Limpopo_poultry_hatchery_production_RAW3[[#This Row],[Hatchability_Pct]]&lt;91, "⚠ Low Hatchability","√ OK")</f>
        <v>√ OK</v>
      </c>
      <c r="AA90">
        <f>IF(Limpopo_poultry_hatchery_production_RAW3[[#This Row],[QC Flag]]="√ OK", 0, 1)</f>
        <v>0</v>
      </c>
      <c r="AC90" t="s">
        <v>39</v>
      </c>
    </row>
    <row r="91" spans="1:29" x14ac:dyDescent="0.25">
      <c r="A91" s="2">
        <v>44680</v>
      </c>
      <c r="B91" s="2" t="str">
        <f>TEXT(Limpopo_poultry_hatchery_production_RAW3[[#This Row],[Week_Ending]], "mmm")</f>
        <v>Apr</v>
      </c>
      <c r="C91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91" t="s">
        <v>24</v>
      </c>
      <c r="E91" t="s">
        <v>25</v>
      </c>
      <c r="F91" t="s">
        <v>26</v>
      </c>
      <c r="G91" t="s">
        <v>27</v>
      </c>
      <c r="H91" t="s">
        <v>28</v>
      </c>
      <c r="I91" t="s">
        <v>29</v>
      </c>
      <c r="J91" s="3">
        <v>22000</v>
      </c>
      <c r="K91" s="38" t="s">
        <v>30</v>
      </c>
      <c r="L91" s="5">
        <f>(Limpopo_poultry_hatchery_production_RAW3[[#This Row],[Eggs_Fertile]]/Limpopo_poultry_hatchery_production_RAW3[[#This Row],[Eggs_Set]])*100</f>
        <v>95</v>
      </c>
      <c r="M91" s="9">
        <v>19200</v>
      </c>
      <c r="N91" s="3">
        <f>(Limpopo_poultry_hatchery_production_RAW3[[#This Row],[Eggs_Hatched]]/Limpopo_poultry_hatchery_production_RAW3[[#This Row],[Eggs_Fertile]])*100</f>
        <v>91.866028708133967</v>
      </c>
      <c r="O91" s="3">
        <v>18800</v>
      </c>
      <c r="P91" s="3">
        <v>302</v>
      </c>
      <c r="Q91" s="3">
        <v>98</v>
      </c>
      <c r="R91" s="3">
        <f>(Limpopo_poultry_hatchery_production_RAW3[[#This Row],[Chicks_Culled]]/Limpopo_poultry_hatchery_production_RAW3[[#This Row],[Eggs_Hatched]])*100</f>
        <v>0.51041666666666663</v>
      </c>
      <c r="S91" s="3">
        <v>8800</v>
      </c>
      <c r="T91" s="40" t="s">
        <v>34</v>
      </c>
      <c r="U91" s="4">
        <v>37.6</v>
      </c>
      <c r="V91">
        <v>58</v>
      </c>
      <c r="W91" s="4">
        <v>11</v>
      </c>
      <c r="X91" t="s">
        <v>37</v>
      </c>
      <c r="Y91">
        <f>IF(Limpopo_poultry_hatchery_production_RAW3[[#This Row],[Biosecurity_Check]]="Pass",0,1)</f>
        <v>0</v>
      </c>
      <c r="Z91" t="str">
        <f>IF(Limpopo_poultry_hatchery_production_RAW3[[#This Row],[Hatchability_Pct]]&lt;91, "⚠ Low Hatchability","√ OK")</f>
        <v>√ OK</v>
      </c>
      <c r="AA91">
        <f>IF(Limpopo_poultry_hatchery_production_RAW3[[#This Row],[QC Flag]]="√ OK", 0, 1)</f>
        <v>0</v>
      </c>
      <c r="AB91" t="s">
        <v>143</v>
      </c>
      <c r="AC91" t="s">
        <v>39</v>
      </c>
    </row>
    <row r="92" spans="1:29" x14ac:dyDescent="0.25">
      <c r="A92" s="2">
        <v>44680</v>
      </c>
      <c r="B92" s="2" t="str">
        <f>TEXT(Limpopo_poultry_hatchery_production_RAW3[[#This Row],[Week_Ending]], "mmm")</f>
        <v>Apr</v>
      </c>
      <c r="C92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92" t="s">
        <v>40</v>
      </c>
      <c r="E92" t="s">
        <v>25</v>
      </c>
      <c r="F92" t="s">
        <v>26</v>
      </c>
      <c r="G92" t="s">
        <v>41</v>
      </c>
      <c r="H92" t="s">
        <v>42</v>
      </c>
      <c r="I92" t="s">
        <v>29</v>
      </c>
      <c r="J92" s="3">
        <v>18500</v>
      </c>
      <c r="K92" s="38" t="s">
        <v>43</v>
      </c>
      <c r="L92" s="5">
        <f>(Limpopo_poultry_hatchery_production_RAW3[[#This Row],[Eggs_Fertile]]/Limpopo_poultry_hatchery_production_RAW3[[#This Row],[Eggs_Set]])*100</f>
        <v>94</v>
      </c>
      <c r="M92" s="9">
        <v>15900</v>
      </c>
      <c r="N92" s="3">
        <f>(Limpopo_poultry_hatchery_production_RAW3[[#This Row],[Eggs_Hatched]]/Limpopo_poultry_hatchery_production_RAW3[[#This Row],[Eggs_Fertile]])*100</f>
        <v>91.431857389304199</v>
      </c>
      <c r="O92" s="3">
        <v>15500</v>
      </c>
      <c r="P92" s="3">
        <v>295</v>
      </c>
      <c r="Q92" s="3">
        <v>105</v>
      </c>
      <c r="R92" s="3">
        <f>(Limpopo_poultry_hatchery_production_RAW3[[#This Row],[Chicks_Culled]]/Limpopo_poultry_hatchery_production_RAW3[[#This Row],[Eggs_Hatched]])*100</f>
        <v>0.66037735849056611</v>
      </c>
      <c r="S92" s="3">
        <v>7400</v>
      </c>
      <c r="T92" s="40" t="s">
        <v>47</v>
      </c>
      <c r="U92" s="4">
        <v>37.6</v>
      </c>
      <c r="V92">
        <v>58</v>
      </c>
      <c r="W92" s="4">
        <v>10</v>
      </c>
      <c r="X92" t="s">
        <v>37</v>
      </c>
      <c r="Y92">
        <f>IF(Limpopo_poultry_hatchery_production_RAW3[[#This Row],[Biosecurity_Check]]="Pass",0,1)</f>
        <v>0</v>
      </c>
      <c r="Z92" t="str">
        <f>IF(Limpopo_poultry_hatchery_production_RAW3[[#This Row],[Hatchability_Pct]]&lt;91, "⚠ Low Hatchability","√ OK")</f>
        <v>√ OK</v>
      </c>
      <c r="AA92">
        <f>IF(Limpopo_poultry_hatchery_production_RAW3[[#This Row],[QC Flag]]="√ OK", 0, 1)</f>
        <v>0</v>
      </c>
      <c r="AB92" t="s">
        <v>143</v>
      </c>
      <c r="AC92" t="s">
        <v>39</v>
      </c>
    </row>
    <row r="93" spans="1:29" x14ac:dyDescent="0.25">
      <c r="A93" s="2">
        <v>44680</v>
      </c>
      <c r="B93" s="2" t="str">
        <f>TEXT(Limpopo_poultry_hatchery_production_RAW3[[#This Row],[Week_Ending]], "mmm")</f>
        <v>Apr</v>
      </c>
      <c r="C93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93" t="s">
        <v>50</v>
      </c>
      <c r="E93" t="s">
        <v>51</v>
      </c>
      <c r="F93" t="s">
        <v>26</v>
      </c>
      <c r="G93" t="s">
        <v>52</v>
      </c>
      <c r="H93" t="s">
        <v>53</v>
      </c>
      <c r="I93" t="s">
        <v>54</v>
      </c>
      <c r="J93" s="3">
        <v>15000</v>
      </c>
      <c r="K93" s="38" t="s">
        <v>55</v>
      </c>
      <c r="L93" s="5">
        <f>(Limpopo_poultry_hatchery_production_RAW3[[#This Row],[Eggs_Fertile]]/Limpopo_poultry_hatchery_production_RAW3[[#This Row],[Eggs_Set]])*100</f>
        <v>94</v>
      </c>
      <c r="M93" s="9">
        <v>12800</v>
      </c>
      <c r="N93" s="3">
        <f>(Limpopo_poultry_hatchery_production_RAW3[[#This Row],[Eggs_Hatched]]/Limpopo_poultry_hatchery_production_RAW3[[#This Row],[Eggs_Fertile]])*100</f>
        <v>90.780141843971634</v>
      </c>
      <c r="O93" s="3">
        <v>12600</v>
      </c>
      <c r="P93" s="3">
        <v>168</v>
      </c>
      <c r="Q93" s="3">
        <v>32</v>
      </c>
      <c r="R93" s="3">
        <f>(Limpopo_poultry_hatchery_production_RAW3[[#This Row],[Chicks_Culled]]/Limpopo_poultry_hatchery_production_RAW3[[#This Row],[Eggs_Hatched]])*100</f>
        <v>0.25</v>
      </c>
      <c r="S93" s="3">
        <v>6000</v>
      </c>
      <c r="T93" s="40" t="s">
        <v>58</v>
      </c>
      <c r="U93" s="4">
        <v>37.5</v>
      </c>
      <c r="V93">
        <v>59</v>
      </c>
      <c r="W93" s="4">
        <v>6</v>
      </c>
      <c r="X93" t="s">
        <v>37</v>
      </c>
      <c r="Y93">
        <f>IF(Limpopo_poultry_hatchery_production_RAW3[[#This Row],[Biosecurity_Check]]="Pass",0,1)</f>
        <v>0</v>
      </c>
      <c r="Z93" t="str">
        <f>IF(Limpopo_poultry_hatchery_production_RAW3[[#This Row],[Hatchability_Pct]]&lt;91, "⚠ Low Hatchability","√ OK")</f>
        <v>⚠ Low Hatchability</v>
      </c>
      <c r="AA93">
        <f>IF(Limpopo_poultry_hatchery_production_RAW3[[#This Row],[QC Flag]]="√ OK", 0, 1)</f>
        <v>1</v>
      </c>
      <c r="AB93" t="s">
        <v>61</v>
      </c>
      <c r="AC93" t="s">
        <v>39</v>
      </c>
    </row>
    <row r="94" spans="1:29" x14ac:dyDescent="0.25">
      <c r="A94" s="2">
        <v>44680</v>
      </c>
      <c r="B94" s="2" t="str">
        <f>TEXT(Limpopo_poultry_hatchery_production_RAW3[[#This Row],[Week_Ending]], "mmm")</f>
        <v>Apr</v>
      </c>
      <c r="C94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94" t="s">
        <v>62</v>
      </c>
      <c r="E94" t="s">
        <v>25</v>
      </c>
      <c r="F94" t="s">
        <v>63</v>
      </c>
      <c r="G94" t="s">
        <v>64</v>
      </c>
      <c r="H94" t="s">
        <v>65</v>
      </c>
      <c r="I94" t="s">
        <v>66</v>
      </c>
      <c r="J94" s="3">
        <v>25000</v>
      </c>
      <c r="K94" s="38" t="s">
        <v>67</v>
      </c>
      <c r="L94" s="5">
        <f>(Limpopo_poultry_hatchery_production_RAW3[[#This Row],[Eggs_Fertile]]/Limpopo_poultry_hatchery_production_RAW3[[#This Row],[Eggs_Set]])*100</f>
        <v>94</v>
      </c>
      <c r="M94" s="9">
        <v>21600</v>
      </c>
      <c r="N94" s="3">
        <f>(Limpopo_poultry_hatchery_production_RAW3[[#This Row],[Eggs_Hatched]]/Limpopo_poultry_hatchery_production_RAW3[[#This Row],[Eggs_Fertile]])*100</f>
        <v>91.914893617021278</v>
      </c>
      <c r="O94" s="3">
        <v>21100</v>
      </c>
      <c r="P94" s="3">
        <v>372</v>
      </c>
      <c r="Q94" s="3">
        <v>128</v>
      </c>
      <c r="R94" s="3">
        <f>(Limpopo_poultry_hatchery_production_RAW3[[#This Row],[Chicks_Culled]]/Limpopo_poultry_hatchery_production_RAW3[[#This Row],[Eggs_Hatched]])*100</f>
        <v>0.59259259259259256</v>
      </c>
      <c r="S94" s="3">
        <v>10000</v>
      </c>
      <c r="T94" s="40" t="s">
        <v>69</v>
      </c>
      <c r="U94" s="4">
        <v>37.6</v>
      </c>
      <c r="V94">
        <v>58</v>
      </c>
      <c r="W94" s="4">
        <v>14</v>
      </c>
      <c r="X94" t="s">
        <v>37</v>
      </c>
      <c r="Y94">
        <f>IF(Limpopo_poultry_hatchery_production_RAW3[[#This Row],[Biosecurity_Check]]="Pass",0,1)</f>
        <v>0</v>
      </c>
      <c r="Z94" t="str">
        <f>IF(Limpopo_poultry_hatchery_production_RAW3[[#This Row],[Hatchability_Pct]]&lt;91, "⚠ Low Hatchability","√ OK")</f>
        <v>√ OK</v>
      </c>
      <c r="AA94">
        <f>IF(Limpopo_poultry_hatchery_production_RAW3[[#This Row],[QC Flag]]="√ OK", 0, 1)</f>
        <v>0</v>
      </c>
      <c r="AB94" t="s">
        <v>143</v>
      </c>
      <c r="AC94" t="s">
        <v>39</v>
      </c>
    </row>
    <row r="95" spans="1:29" x14ac:dyDescent="0.25">
      <c r="A95" s="2">
        <v>44680</v>
      </c>
      <c r="B95" s="2" t="str">
        <f>TEXT(Limpopo_poultry_hatchery_production_RAW3[[#This Row],[Week_Ending]], "mmm")</f>
        <v>Apr</v>
      </c>
      <c r="C95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95" t="s">
        <v>73</v>
      </c>
      <c r="E95" t="s">
        <v>74</v>
      </c>
      <c r="F95" t="s">
        <v>75</v>
      </c>
      <c r="G95" t="s">
        <v>76</v>
      </c>
      <c r="H95" t="s">
        <v>77</v>
      </c>
      <c r="I95" t="s">
        <v>29</v>
      </c>
      <c r="J95" s="3">
        <v>12000</v>
      </c>
      <c r="K95" s="38" t="s">
        <v>78</v>
      </c>
      <c r="L95" s="5">
        <f>(Limpopo_poultry_hatchery_production_RAW3[[#This Row],[Eggs_Fertile]]/Limpopo_poultry_hatchery_production_RAW3[[#This Row],[Eggs_Set]])*100</f>
        <v>95</v>
      </c>
      <c r="M95" s="9">
        <v>10500</v>
      </c>
      <c r="N95" s="3">
        <f>(Limpopo_poultry_hatchery_production_RAW3[[#This Row],[Eggs_Hatched]]/Limpopo_poultry_hatchery_production_RAW3[[#This Row],[Eggs_Fertile]])*100</f>
        <v>92.10526315789474</v>
      </c>
      <c r="O95" s="3">
        <v>10300</v>
      </c>
      <c r="P95" s="3">
        <v>158</v>
      </c>
      <c r="Q95" s="3">
        <v>42</v>
      </c>
      <c r="R95" s="3">
        <f>(Limpopo_poultry_hatchery_production_RAW3[[#This Row],[Chicks_Culled]]/Limpopo_poultry_hatchery_production_RAW3[[#This Row],[Eggs_Hatched]])*100</f>
        <v>0.4</v>
      </c>
      <c r="S95" s="3">
        <v>4800</v>
      </c>
      <c r="T95" s="40" t="s">
        <v>81</v>
      </c>
      <c r="U95" s="4">
        <v>37.5</v>
      </c>
      <c r="V95">
        <v>58</v>
      </c>
      <c r="W95" s="4">
        <v>4</v>
      </c>
      <c r="X95" t="s">
        <v>37</v>
      </c>
      <c r="Y95">
        <f>IF(Limpopo_poultry_hatchery_production_RAW3[[#This Row],[Biosecurity_Check]]="Pass",0,1)</f>
        <v>0</v>
      </c>
      <c r="Z95" t="str">
        <f>IF(Limpopo_poultry_hatchery_production_RAW3[[#This Row],[Hatchability_Pct]]&lt;91, "⚠ Low Hatchability","√ OK")</f>
        <v>√ OK</v>
      </c>
      <c r="AA95">
        <f>IF(Limpopo_poultry_hatchery_production_RAW3[[#This Row],[QC Flag]]="√ OK", 0, 1)</f>
        <v>0</v>
      </c>
      <c r="AB95" t="s">
        <v>143</v>
      </c>
      <c r="AC95" t="s">
        <v>39</v>
      </c>
    </row>
    <row r="96" spans="1:29" x14ac:dyDescent="0.25">
      <c r="A96" s="2">
        <v>44680</v>
      </c>
      <c r="B96" s="2" t="str">
        <f>TEXT(Limpopo_poultry_hatchery_production_RAW3[[#This Row],[Week_Ending]], "mmm")</f>
        <v>Apr</v>
      </c>
      <c r="C96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96" t="s">
        <v>85</v>
      </c>
      <c r="E96" t="s">
        <v>25</v>
      </c>
      <c r="F96" t="s">
        <v>75</v>
      </c>
      <c r="G96" t="s">
        <v>86</v>
      </c>
      <c r="H96" t="s">
        <v>87</v>
      </c>
      <c r="I96" t="s">
        <v>66</v>
      </c>
      <c r="J96" s="3">
        <v>19000</v>
      </c>
      <c r="K96" s="38" t="s">
        <v>88</v>
      </c>
      <c r="L96" s="5">
        <f>(Limpopo_poultry_hatchery_production_RAW3[[#This Row],[Eggs_Fertile]]/Limpopo_poultry_hatchery_production_RAW3[[#This Row],[Eggs_Set]])*100</f>
        <v>94</v>
      </c>
      <c r="M96" s="9">
        <v>16400</v>
      </c>
      <c r="N96" s="3">
        <f>(Limpopo_poultry_hatchery_production_RAW3[[#This Row],[Eggs_Hatched]]/Limpopo_poultry_hatchery_production_RAW3[[#This Row],[Eggs_Fertile]])*100</f>
        <v>91.82530795072789</v>
      </c>
      <c r="O96" s="3">
        <v>16000</v>
      </c>
      <c r="P96" s="3">
        <v>286</v>
      </c>
      <c r="Q96" s="3">
        <v>114</v>
      </c>
      <c r="R96" s="3">
        <f>(Limpopo_poultry_hatchery_production_RAW3[[#This Row],[Chicks_Culled]]/Limpopo_poultry_hatchery_production_RAW3[[#This Row],[Eggs_Hatched]])*100</f>
        <v>0.69512195121951226</v>
      </c>
      <c r="S96" s="3">
        <v>7600</v>
      </c>
      <c r="T96" s="40" t="s">
        <v>91</v>
      </c>
      <c r="U96" s="4">
        <v>37.700000000000003</v>
      </c>
      <c r="V96">
        <v>57</v>
      </c>
      <c r="W96" s="4">
        <v>8</v>
      </c>
      <c r="X96" t="s">
        <v>37</v>
      </c>
      <c r="Y96">
        <f>IF(Limpopo_poultry_hatchery_production_RAW3[[#This Row],[Biosecurity_Check]]="Pass",0,1)</f>
        <v>0</v>
      </c>
      <c r="Z96" t="str">
        <f>IF(Limpopo_poultry_hatchery_production_RAW3[[#This Row],[Hatchability_Pct]]&lt;91, "⚠ Low Hatchability","√ OK")</f>
        <v>√ OK</v>
      </c>
      <c r="AA96">
        <f>IF(Limpopo_poultry_hatchery_production_RAW3[[#This Row],[QC Flag]]="√ OK", 0, 1)</f>
        <v>0</v>
      </c>
      <c r="AB96" t="s">
        <v>143</v>
      </c>
      <c r="AC96" t="s">
        <v>39</v>
      </c>
    </row>
    <row r="97" spans="1:29" x14ac:dyDescent="0.25">
      <c r="A97" s="2">
        <v>44687</v>
      </c>
      <c r="B97" s="2" t="str">
        <f>TEXT(Limpopo_poultry_hatchery_production_RAW3[[#This Row],[Week_Ending]], "mmm")</f>
        <v>May</v>
      </c>
      <c r="C97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97" t="s">
        <v>24</v>
      </c>
      <c r="E97" t="s">
        <v>25</v>
      </c>
      <c r="F97" t="s">
        <v>26</v>
      </c>
      <c r="G97" t="s">
        <v>27</v>
      </c>
      <c r="H97" t="s">
        <v>28</v>
      </c>
      <c r="I97" t="s">
        <v>29</v>
      </c>
      <c r="J97" s="3">
        <v>22000</v>
      </c>
      <c r="K97" s="38" t="s">
        <v>94</v>
      </c>
      <c r="L97" s="5">
        <f>(Limpopo_poultry_hatchery_production_RAW3[[#This Row],[Eggs_Fertile]]/Limpopo_poultry_hatchery_production_RAW3[[#This Row],[Eggs_Set]])*100</f>
        <v>96</v>
      </c>
      <c r="M97" s="9">
        <v>19400</v>
      </c>
      <c r="N97" s="3">
        <f>(Limpopo_poultry_hatchery_production_RAW3[[#This Row],[Eggs_Hatched]]/Limpopo_poultry_hatchery_production_RAW3[[#This Row],[Eggs_Fertile]])*100</f>
        <v>91.856060606060609</v>
      </c>
      <c r="O97" s="3">
        <v>19000</v>
      </c>
      <c r="P97" s="3">
        <v>295</v>
      </c>
      <c r="Q97" s="3">
        <v>105</v>
      </c>
      <c r="R97" s="3">
        <f>(Limpopo_poultry_hatchery_production_RAW3[[#This Row],[Chicks_Culled]]/Limpopo_poultry_hatchery_production_RAW3[[#This Row],[Eggs_Hatched]])*100</f>
        <v>0.54123711340206182</v>
      </c>
      <c r="S97" s="3">
        <v>8800</v>
      </c>
      <c r="T97" s="40" t="s">
        <v>34</v>
      </c>
      <c r="U97" s="4">
        <v>37.5</v>
      </c>
      <c r="V97">
        <v>59</v>
      </c>
      <c r="W97" s="4">
        <v>8</v>
      </c>
      <c r="X97" t="s">
        <v>37</v>
      </c>
      <c r="Y97">
        <f>IF(Limpopo_poultry_hatchery_production_RAW3[[#This Row],[Biosecurity_Check]]="Pass",0,1)</f>
        <v>0</v>
      </c>
      <c r="Z97" t="str">
        <f>IF(Limpopo_poultry_hatchery_production_RAW3[[#This Row],[Hatchability_Pct]]&lt;91, "⚠ Low Hatchability","√ OK")</f>
        <v>√ OK</v>
      </c>
      <c r="AA97">
        <f>IF(Limpopo_poultry_hatchery_production_RAW3[[#This Row],[QC Flag]]="√ OK", 0, 1)</f>
        <v>0</v>
      </c>
      <c r="AC97" t="s">
        <v>39</v>
      </c>
    </row>
    <row r="98" spans="1:29" x14ac:dyDescent="0.25">
      <c r="A98" s="2">
        <v>44687</v>
      </c>
      <c r="B98" s="2" t="str">
        <f>TEXT(Limpopo_poultry_hatchery_production_RAW3[[#This Row],[Week_Ending]], "mmm")</f>
        <v>May</v>
      </c>
      <c r="C98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98" t="s">
        <v>40</v>
      </c>
      <c r="E98" t="s">
        <v>25</v>
      </c>
      <c r="F98" t="s">
        <v>26</v>
      </c>
      <c r="G98" t="s">
        <v>41</v>
      </c>
      <c r="H98" t="s">
        <v>42</v>
      </c>
      <c r="I98" t="s">
        <v>29</v>
      </c>
      <c r="J98" s="3">
        <v>18500</v>
      </c>
      <c r="K98" s="38" t="s">
        <v>144</v>
      </c>
      <c r="L98" s="5">
        <f>(Limpopo_poultry_hatchery_production_RAW3[[#This Row],[Eggs_Fertile]]/Limpopo_poultry_hatchery_production_RAW3[[#This Row],[Eggs_Set]])*100</f>
        <v>97</v>
      </c>
      <c r="M98" s="9">
        <v>16400</v>
      </c>
      <c r="N98" s="3">
        <f>(Limpopo_poultry_hatchery_production_RAW3[[#This Row],[Eggs_Hatched]]/Limpopo_poultry_hatchery_production_RAW3[[#This Row],[Eggs_Fertile]])*100</f>
        <v>91.390359431596551</v>
      </c>
      <c r="O98" s="3">
        <v>16000</v>
      </c>
      <c r="P98" s="3">
        <v>305</v>
      </c>
      <c r="Q98" s="3">
        <v>95</v>
      </c>
      <c r="R98" s="3">
        <f>(Limpopo_poultry_hatchery_production_RAW3[[#This Row],[Chicks_Culled]]/Limpopo_poultry_hatchery_production_RAW3[[#This Row],[Eggs_Hatched]])*100</f>
        <v>0.57926829268292679</v>
      </c>
      <c r="S98" s="3">
        <v>7400</v>
      </c>
      <c r="T98" s="40" t="s">
        <v>47</v>
      </c>
      <c r="U98" s="4">
        <v>37.5</v>
      </c>
      <c r="V98">
        <v>59</v>
      </c>
      <c r="W98" s="4">
        <v>7</v>
      </c>
      <c r="X98" t="s">
        <v>37</v>
      </c>
      <c r="Y98">
        <f>IF(Limpopo_poultry_hatchery_production_RAW3[[#This Row],[Biosecurity_Check]]="Pass",0,1)</f>
        <v>0</v>
      </c>
      <c r="Z98" t="str">
        <f>IF(Limpopo_poultry_hatchery_production_RAW3[[#This Row],[Hatchability_Pct]]&lt;91, "⚠ Low Hatchability","√ OK")</f>
        <v>√ OK</v>
      </c>
      <c r="AA98">
        <f>IF(Limpopo_poultry_hatchery_production_RAW3[[#This Row],[QC Flag]]="√ OK", 0, 1)</f>
        <v>0</v>
      </c>
      <c r="AC98" t="s">
        <v>39</v>
      </c>
    </row>
    <row r="99" spans="1:29" x14ac:dyDescent="0.25">
      <c r="A99" s="2">
        <v>44687</v>
      </c>
      <c r="B99" s="2" t="str">
        <f>TEXT(Limpopo_poultry_hatchery_production_RAW3[[#This Row],[Week_Ending]], "mmm")</f>
        <v>May</v>
      </c>
      <c r="C99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99" t="s">
        <v>50</v>
      </c>
      <c r="E99" t="s">
        <v>51</v>
      </c>
      <c r="F99" t="s">
        <v>26</v>
      </c>
      <c r="G99" t="s">
        <v>52</v>
      </c>
      <c r="H99" t="s">
        <v>53</v>
      </c>
      <c r="I99" t="s">
        <v>54</v>
      </c>
      <c r="J99" s="3">
        <v>15000</v>
      </c>
      <c r="K99" s="38" t="s">
        <v>81</v>
      </c>
      <c r="L99" s="5">
        <f>(Limpopo_poultry_hatchery_production_RAW3[[#This Row],[Eggs_Fertile]]/Limpopo_poultry_hatchery_production_RAW3[[#This Row],[Eggs_Set]])*100</f>
        <v>96</v>
      </c>
      <c r="M99" s="9">
        <v>13050</v>
      </c>
      <c r="N99" s="3">
        <f>(Limpopo_poultry_hatchery_production_RAW3[[#This Row],[Eggs_Hatched]]/Limpopo_poultry_hatchery_production_RAW3[[#This Row],[Eggs_Fertile]])*100</f>
        <v>90.625</v>
      </c>
      <c r="O99" s="3">
        <v>12850</v>
      </c>
      <c r="P99" s="3">
        <v>172</v>
      </c>
      <c r="Q99" s="3">
        <v>28</v>
      </c>
      <c r="R99" s="3">
        <f>(Limpopo_poultry_hatchery_production_RAW3[[#This Row],[Chicks_Culled]]/Limpopo_poultry_hatchery_production_RAW3[[#This Row],[Eggs_Hatched]])*100</f>
        <v>0.21455938697318008</v>
      </c>
      <c r="S99" s="3">
        <v>6000</v>
      </c>
      <c r="T99" s="40" t="s">
        <v>58</v>
      </c>
      <c r="U99" s="4">
        <v>37.4</v>
      </c>
      <c r="V99">
        <v>60</v>
      </c>
      <c r="W99" s="4">
        <v>5</v>
      </c>
      <c r="X99" t="s">
        <v>37</v>
      </c>
      <c r="Y99">
        <f>IF(Limpopo_poultry_hatchery_production_RAW3[[#This Row],[Biosecurity_Check]]="Pass",0,1)</f>
        <v>0</v>
      </c>
      <c r="Z99" t="str">
        <f>IF(Limpopo_poultry_hatchery_production_RAW3[[#This Row],[Hatchability_Pct]]&lt;91, "⚠ Low Hatchability","√ OK")</f>
        <v>⚠ Low Hatchability</v>
      </c>
      <c r="AA99">
        <f>IF(Limpopo_poultry_hatchery_production_RAW3[[#This Row],[QC Flag]]="√ OK", 0, 1)</f>
        <v>1</v>
      </c>
      <c r="AC99" t="s">
        <v>39</v>
      </c>
    </row>
    <row r="100" spans="1:29" x14ac:dyDescent="0.25">
      <c r="A100" s="2">
        <v>44687</v>
      </c>
      <c r="B100" s="2" t="str">
        <f>TEXT(Limpopo_poultry_hatchery_production_RAW3[[#This Row],[Week_Ending]], "mmm")</f>
        <v>May</v>
      </c>
      <c r="C100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00" t="s">
        <v>73</v>
      </c>
      <c r="E100" t="s">
        <v>74</v>
      </c>
      <c r="F100" t="s">
        <v>75</v>
      </c>
      <c r="G100" t="s">
        <v>76</v>
      </c>
      <c r="H100" t="s">
        <v>77</v>
      </c>
      <c r="I100" t="s">
        <v>29</v>
      </c>
      <c r="J100" s="3">
        <v>12000</v>
      </c>
      <c r="K100" s="38" t="s">
        <v>112</v>
      </c>
      <c r="L100" s="5">
        <f>(Limpopo_poultry_hatchery_production_RAW3[[#This Row],[Eggs_Fertile]]/Limpopo_poultry_hatchery_production_RAW3[[#This Row],[Eggs_Set]])*100</f>
        <v>96</v>
      </c>
      <c r="M100" s="9">
        <v>10600</v>
      </c>
      <c r="N100" s="3">
        <f>(Limpopo_poultry_hatchery_production_RAW3[[#This Row],[Eggs_Hatched]]/Limpopo_poultry_hatchery_production_RAW3[[#This Row],[Eggs_Fertile]])*100</f>
        <v>92.013888888888886</v>
      </c>
      <c r="O100" s="3">
        <v>10400</v>
      </c>
      <c r="P100" s="3">
        <v>155</v>
      </c>
      <c r="Q100" s="3">
        <v>45</v>
      </c>
      <c r="R100" s="3">
        <f>(Limpopo_poultry_hatchery_production_RAW3[[#This Row],[Chicks_Culled]]/Limpopo_poultry_hatchery_production_RAW3[[#This Row],[Eggs_Hatched]])*100</f>
        <v>0.42452830188679247</v>
      </c>
      <c r="S100" s="3">
        <v>4800</v>
      </c>
      <c r="T100" s="40" t="s">
        <v>81</v>
      </c>
      <c r="U100" s="4">
        <v>37.5</v>
      </c>
      <c r="V100">
        <v>58</v>
      </c>
      <c r="W100" s="4">
        <v>3</v>
      </c>
      <c r="X100" t="s">
        <v>37</v>
      </c>
      <c r="Y100">
        <f>IF(Limpopo_poultry_hatchery_production_RAW3[[#This Row],[Biosecurity_Check]]="Pass",0,1)</f>
        <v>0</v>
      </c>
      <c r="Z100" t="str">
        <f>IF(Limpopo_poultry_hatchery_production_RAW3[[#This Row],[Hatchability_Pct]]&lt;91, "⚠ Low Hatchability","√ OK")</f>
        <v>√ OK</v>
      </c>
      <c r="AA100">
        <f>IF(Limpopo_poultry_hatchery_production_RAW3[[#This Row],[QC Flag]]="√ OK", 0, 1)</f>
        <v>0</v>
      </c>
      <c r="AC100" t="s">
        <v>39</v>
      </c>
    </row>
    <row r="101" spans="1:29" x14ac:dyDescent="0.25">
      <c r="A101" s="2">
        <v>44687</v>
      </c>
      <c r="B101" s="2" t="str">
        <f>TEXT(Limpopo_poultry_hatchery_production_RAW3[[#This Row],[Week_Ending]], "mmm")</f>
        <v>May</v>
      </c>
      <c r="C101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01" t="s">
        <v>85</v>
      </c>
      <c r="E101" t="s">
        <v>25</v>
      </c>
      <c r="F101" t="s">
        <v>75</v>
      </c>
      <c r="G101" t="s">
        <v>86</v>
      </c>
      <c r="H101" t="s">
        <v>87</v>
      </c>
      <c r="I101" t="s">
        <v>66</v>
      </c>
      <c r="J101" s="3">
        <v>19000</v>
      </c>
      <c r="K101" s="38" t="s">
        <v>193</v>
      </c>
      <c r="L101" s="5">
        <f>(Limpopo_poultry_hatchery_production_RAW3[[#This Row],[Eggs_Fertile]]/Limpopo_poultry_hatchery_production_RAW3[[#This Row],[Eggs_Set]])*100</f>
        <v>95</v>
      </c>
      <c r="M101" s="9">
        <v>16600</v>
      </c>
      <c r="N101" s="3">
        <f>(Limpopo_poultry_hatchery_production_RAW3[[#This Row],[Eggs_Hatched]]/Limpopo_poultry_hatchery_production_RAW3[[#This Row],[Eggs_Fertile]])*100</f>
        <v>91.966759002770075</v>
      </c>
      <c r="O101" s="3">
        <v>16200</v>
      </c>
      <c r="P101" s="3">
        <v>282</v>
      </c>
      <c r="Q101" s="3">
        <v>118</v>
      </c>
      <c r="R101" s="3">
        <f>(Limpopo_poultry_hatchery_production_RAW3[[#This Row],[Chicks_Culled]]/Limpopo_poultry_hatchery_production_RAW3[[#This Row],[Eggs_Hatched]])*100</f>
        <v>0.71084337349397586</v>
      </c>
      <c r="S101" s="3">
        <v>7600</v>
      </c>
      <c r="T101" s="40" t="s">
        <v>91</v>
      </c>
      <c r="U101" s="4">
        <v>37.6</v>
      </c>
      <c r="V101">
        <v>58</v>
      </c>
      <c r="W101" s="4">
        <v>7</v>
      </c>
      <c r="X101" t="s">
        <v>37</v>
      </c>
      <c r="Y101">
        <f>IF(Limpopo_poultry_hatchery_production_RAW3[[#This Row],[Biosecurity_Check]]="Pass",0,1)</f>
        <v>0</v>
      </c>
      <c r="Z101" t="str">
        <f>IF(Limpopo_poultry_hatchery_production_RAW3[[#This Row],[Hatchability_Pct]]&lt;91, "⚠ Low Hatchability","√ OK")</f>
        <v>√ OK</v>
      </c>
      <c r="AA101">
        <f>IF(Limpopo_poultry_hatchery_production_RAW3[[#This Row],[QC Flag]]="√ OK", 0, 1)</f>
        <v>0</v>
      </c>
      <c r="AC101" t="s">
        <v>39</v>
      </c>
    </row>
    <row r="102" spans="1:29" x14ac:dyDescent="0.25">
      <c r="A102" s="2">
        <v>44694</v>
      </c>
      <c r="B102" s="2" t="str">
        <f>TEXT(Limpopo_poultry_hatchery_production_RAW3[[#This Row],[Week_Ending]], "mmm")</f>
        <v>May</v>
      </c>
      <c r="C102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02" t="s">
        <v>24</v>
      </c>
      <c r="E102" t="s">
        <v>25</v>
      </c>
      <c r="F102" t="s">
        <v>26</v>
      </c>
      <c r="G102" t="s">
        <v>27</v>
      </c>
      <c r="H102" t="s">
        <v>28</v>
      </c>
      <c r="I102" t="s">
        <v>29</v>
      </c>
      <c r="J102" s="3">
        <v>22000</v>
      </c>
      <c r="K102" s="38" t="s">
        <v>119</v>
      </c>
      <c r="L102" s="5">
        <f>(Limpopo_poultry_hatchery_production_RAW3[[#This Row],[Eggs_Fertile]]/Limpopo_poultry_hatchery_production_RAW3[[#This Row],[Eggs_Set]])*100</f>
        <v>94</v>
      </c>
      <c r="M102" s="9">
        <v>18900</v>
      </c>
      <c r="N102" s="3">
        <f>(Limpopo_poultry_hatchery_production_RAW3[[#This Row],[Eggs_Hatched]]/Limpopo_poultry_hatchery_production_RAW3[[#This Row],[Eggs_Fertile]])*100</f>
        <v>91.392649903288202</v>
      </c>
      <c r="O102" s="3">
        <v>18500</v>
      </c>
      <c r="P102" s="3">
        <v>310</v>
      </c>
      <c r="Q102" s="3">
        <v>90</v>
      </c>
      <c r="R102" s="3">
        <f>(Limpopo_poultry_hatchery_production_RAW3[[#This Row],[Chicks_Culled]]/Limpopo_poultry_hatchery_production_RAW3[[#This Row],[Eggs_Hatched]])*100</f>
        <v>0.47619047619047622</v>
      </c>
      <c r="S102" s="3">
        <v>8800</v>
      </c>
      <c r="T102" s="40" t="s">
        <v>34</v>
      </c>
      <c r="U102" s="4">
        <v>37.700000000000003</v>
      </c>
      <c r="V102">
        <v>57</v>
      </c>
      <c r="W102" s="4">
        <v>13</v>
      </c>
      <c r="X102" t="s">
        <v>37</v>
      </c>
      <c r="Y102">
        <f>IF(Limpopo_poultry_hatchery_production_RAW3[[#This Row],[Biosecurity_Check]]="Pass",0,1)</f>
        <v>0</v>
      </c>
      <c r="Z102" t="str">
        <f>IF(Limpopo_poultry_hatchery_production_RAW3[[#This Row],[Hatchability_Pct]]&lt;91, "⚠ Low Hatchability","√ OK")</f>
        <v>√ OK</v>
      </c>
      <c r="AA102">
        <f>IF(Limpopo_poultry_hatchery_production_RAW3[[#This Row],[QC Flag]]="√ OK", 0, 1)</f>
        <v>0</v>
      </c>
      <c r="AC102" t="s">
        <v>39</v>
      </c>
    </row>
    <row r="103" spans="1:29" x14ac:dyDescent="0.25">
      <c r="A103" s="2">
        <v>44694</v>
      </c>
      <c r="B103" s="2" t="str">
        <f>TEXT(Limpopo_poultry_hatchery_production_RAW3[[#This Row],[Week_Ending]], "mmm")</f>
        <v>May</v>
      </c>
      <c r="C103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03" t="s">
        <v>40</v>
      </c>
      <c r="E103" t="s">
        <v>25</v>
      </c>
      <c r="F103" t="s">
        <v>26</v>
      </c>
      <c r="G103" t="s">
        <v>41</v>
      </c>
      <c r="H103" t="s">
        <v>42</v>
      </c>
      <c r="I103" t="s">
        <v>29</v>
      </c>
      <c r="J103" s="3">
        <v>18500</v>
      </c>
      <c r="K103" s="38" t="s">
        <v>122</v>
      </c>
      <c r="L103" s="5">
        <f>(Limpopo_poultry_hatchery_production_RAW3[[#This Row],[Eggs_Fertile]]/Limpopo_poultry_hatchery_production_RAW3[[#This Row],[Eggs_Set]])*100</f>
        <v>93</v>
      </c>
      <c r="M103" s="9">
        <v>15600</v>
      </c>
      <c r="N103" s="3">
        <f>(Limpopo_poultry_hatchery_production_RAW3[[#This Row],[Eggs_Hatched]]/Limpopo_poultry_hatchery_production_RAW3[[#This Row],[Eggs_Fertile]])*100</f>
        <v>90.671316477768087</v>
      </c>
      <c r="O103" s="3">
        <v>15200</v>
      </c>
      <c r="P103" s="3">
        <v>308</v>
      </c>
      <c r="Q103" s="3">
        <v>92</v>
      </c>
      <c r="R103" s="3">
        <f>(Limpopo_poultry_hatchery_production_RAW3[[#This Row],[Chicks_Culled]]/Limpopo_poultry_hatchery_production_RAW3[[#This Row],[Eggs_Hatched]])*100</f>
        <v>0.58974358974358976</v>
      </c>
      <c r="S103" s="3">
        <v>7400</v>
      </c>
      <c r="T103" s="40" t="s">
        <v>47</v>
      </c>
      <c r="U103" s="4">
        <v>37.799999999999997</v>
      </c>
      <c r="V103">
        <v>56</v>
      </c>
      <c r="W103" s="4">
        <v>16</v>
      </c>
      <c r="X103" t="s">
        <v>37</v>
      </c>
      <c r="Y103">
        <f>IF(Limpopo_poultry_hatchery_production_RAW3[[#This Row],[Biosecurity_Check]]="Pass",0,1)</f>
        <v>0</v>
      </c>
      <c r="Z103" t="str">
        <f>IF(Limpopo_poultry_hatchery_production_RAW3[[#This Row],[Hatchability_Pct]]&lt;91, "⚠ Low Hatchability","√ OK")</f>
        <v>⚠ Low Hatchability</v>
      </c>
      <c r="AA103">
        <f>IF(Limpopo_poultry_hatchery_production_RAW3[[#This Row],[QC Flag]]="√ OK", 0, 1)</f>
        <v>1</v>
      </c>
      <c r="AC103" t="s">
        <v>39</v>
      </c>
    </row>
    <row r="104" spans="1:29" x14ac:dyDescent="0.25">
      <c r="A104" s="2">
        <v>44694</v>
      </c>
      <c r="B104" s="2" t="str">
        <f>TEXT(Limpopo_poultry_hatchery_production_RAW3[[#This Row],[Week_Ending]], "mmm")</f>
        <v>May</v>
      </c>
      <c r="C104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04" t="s">
        <v>50</v>
      </c>
      <c r="E104" t="s">
        <v>51</v>
      </c>
      <c r="F104" t="s">
        <v>26</v>
      </c>
      <c r="G104" t="s">
        <v>52</v>
      </c>
      <c r="H104" t="s">
        <v>53</v>
      </c>
      <c r="I104" t="s">
        <v>54</v>
      </c>
      <c r="J104" s="3">
        <v>15000</v>
      </c>
      <c r="K104" s="38" t="s">
        <v>128</v>
      </c>
      <c r="L104" s="5">
        <f>(Limpopo_poultry_hatchery_production_RAW3[[#This Row],[Eggs_Fertile]]/Limpopo_poultry_hatchery_production_RAW3[[#This Row],[Eggs_Set]])*100</f>
        <v>93</v>
      </c>
      <c r="M104" s="9">
        <v>12550</v>
      </c>
      <c r="N104" s="3">
        <f>(Limpopo_poultry_hatchery_production_RAW3[[#This Row],[Eggs_Hatched]]/Limpopo_poultry_hatchery_production_RAW3[[#This Row],[Eggs_Fertile]])*100</f>
        <v>89.964157706093189</v>
      </c>
      <c r="O104" s="3">
        <v>12350</v>
      </c>
      <c r="P104" s="3">
        <v>182</v>
      </c>
      <c r="Q104" s="3">
        <v>18</v>
      </c>
      <c r="R104" s="3">
        <f>(Limpopo_poultry_hatchery_production_RAW3[[#This Row],[Chicks_Culled]]/Limpopo_poultry_hatchery_production_RAW3[[#This Row],[Eggs_Hatched]])*100</f>
        <v>0.14342629482071714</v>
      </c>
      <c r="S104" s="3">
        <v>6000</v>
      </c>
      <c r="T104" s="40" t="s">
        <v>58</v>
      </c>
      <c r="U104" s="4">
        <v>37.700000000000003</v>
      </c>
      <c r="V104">
        <v>57</v>
      </c>
      <c r="W104" s="4">
        <v>9</v>
      </c>
      <c r="X104" t="s">
        <v>37</v>
      </c>
      <c r="Y104">
        <f>IF(Limpopo_poultry_hatchery_production_RAW3[[#This Row],[Biosecurity_Check]]="Pass",0,1)</f>
        <v>0</v>
      </c>
      <c r="Z104" t="str">
        <f>IF(Limpopo_poultry_hatchery_production_RAW3[[#This Row],[Hatchability_Pct]]&lt;91, "⚠ Low Hatchability","√ OK")</f>
        <v>⚠ Low Hatchability</v>
      </c>
      <c r="AA104">
        <f>IF(Limpopo_poultry_hatchery_production_RAW3[[#This Row],[QC Flag]]="√ OK", 0, 1)</f>
        <v>1</v>
      </c>
      <c r="AC104" t="s">
        <v>39</v>
      </c>
    </row>
    <row r="105" spans="1:29" x14ac:dyDescent="0.25">
      <c r="A105" s="2">
        <v>44694</v>
      </c>
      <c r="B105" s="2" t="str">
        <f>TEXT(Limpopo_poultry_hatchery_production_RAW3[[#This Row],[Week_Ending]], "mmm")</f>
        <v>May</v>
      </c>
      <c r="C105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05" t="s">
        <v>62</v>
      </c>
      <c r="E105" t="s">
        <v>25</v>
      </c>
      <c r="F105" t="s">
        <v>63</v>
      </c>
      <c r="G105" t="s">
        <v>64</v>
      </c>
      <c r="H105" t="s">
        <v>65</v>
      </c>
      <c r="I105" t="s">
        <v>66</v>
      </c>
      <c r="J105" s="3">
        <v>25000</v>
      </c>
      <c r="K105" s="38" t="s">
        <v>172</v>
      </c>
      <c r="L105" s="5">
        <f>(Limpopo_poultry_hatchery_production_RAW3[[#This Row],[Eggs_Fertile]]/Limpopo_poultry_hatchery_production_RAW3[[#This Row],[Eggs_Set]])*100</f>
        <v>93</v>
      </c>
      <c r="M105" s="9">
        <v>21200</v>
      </c>
      <c r="N105" s="3">
        <f>(Limpopo_poultry_hatchery_production_RAW3[[#This Row],[Eggs_Hatched]]/Limpopo_poultry_hatchery_production_RAW3[[#This Row],[Eggs_Fertile]])*100</f>
        <v>91.182795698924735</v>
      </c>
      <c r="O105" s="3">
        <v>20700</v>
      </c>
      <c r="P105" s="3">
        <v>385</v>
      </c>
      <c r="Q105" s="3">
        <v>115</v>
      </c>
      <c r="R105" s="3">
        <f>(Limpopo_poultry_hatchery_production_RAW3[[#This Row],[Chicks_Culled]]/Limpopo_poultry_hatchery_production_RAW3[[#This Row],[Eggs_Hatched]])*100</f>
        <v>0.54245283018867918</v>
      </c>
      <c r="S105" s="3">
        <v>10000</v>
      </c>
      <c r="T105" s="40" t="s">
        <v>69</v>
      </c>
      <c r="U105" s="4">
        <v>37.799999999999997</v>
      </c>
      <c r="V105">
        <v>56</v>
      </c>
      <c r="W105" s="4">
        <v>19</v>
      </c>
      <c r="X105" t="s">
        <v>37</v>
      </c>
      <c r="Y105">
        <f>IF(Limpopo_poultry_hatchery_production_RAW3[[#This Row],[Biosecurity_Check]]="Pass",0,1)</f>
        <v>0</v>
      </c>
      <c r="Z105" t="str">
        <f>IF(Limpopo_poultry_hatchery_production_RAW3[[#This Row],[Hatchability_Pct]]&lt;91, "⚠ Low Hatchability","√ OK")</f>
        <v>√ OK</v>
      </c>
      <c r="AA105">
        <f>IF(Limpopo_poultry_hatchery_production_RAW3[[#This Row],[QC Flag]]="√ OK", 0, 1)</f>
        <v>0</v>
      </c>
      <c r="AC105" t="s">
        <v>39</v>
      </c>
    </row>
    <row r="106" spans="1:29" x14ac:dyDescent="0.25">
      <c r="A106" s="2">
        <v>44694</v>
      </c>
      <c r="B106" s="2" t="str">
        <f>TEXT(Limpopo_poultry_hatchery_production_RAW3[[#This Row],[Week_Ending]], "mmm")</f>
        <v>May</v>
      </c>
      <c r="C106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06" t="s">
        <v>73</v>
      </c>
      <c r="E106" t="s">
        <v>74</v>
      </c>
      <c r="F106" t="s">
        <v>75</v>
      </c>
      <c r="G106" t="s">
        <v>76</v>
      </c>
      <c r="H106" t="s">
        <v>77</v>
      </c>
      <c r="I106" t="s">
        <v>29</v>
      </c>
      <c r="J106" s="3">
        <v>12000</v>
      </c>
      <c r="K106" s="38" t="s">
        <v>176</v>
      </c>
      <c r="L106" s="5">
        <f>(Limpopo_poultry_hatchery_production_RAW3[[#This Row],[Eggs_Fertile]]/Limpopo_poultry_hatchery_production_RAW3[[#This Row],[Eggs_Set]])*100</f>
        <v>93</v>
      </c>
      <c r="M106" s="9">
        <v>10200</v>
      </c>
      <c r="N106" s="3">
        <f>(Limpopo_poultry_hatchery_production_RAW3[[#This Row],[Eggs_Hatched]]/Limpopo_poultry_hatchery_production_RAW3[[#This Row],[Eggs_Fertile]])*100</f>
        <v>91.397849462365585</v>
      </c>
      <c r="O106" s="3">
        <v>10000</v>
      </c>
      <c r="P106" s="3">
        <v>165</v>
      </c>
      <c r="Q106" s="3">
        <v>35</v>
      </c>
      <c r="R106" s="3">
        <f>(Limpopo_poultry_hatchery_production_RAW3[[#This Row],[Chicks_Culled]]/Limpopo_poultry_hatchery_production_RAW3[[#This Row],[Eggs_Hatched]])*100</f>
        <v>0.34313725490196079</v>
      </c>
      <c r="S106" s="3">
        <v>4800</v>
      </c>
      <c r="T106" s="40" t="s">
        <v>81</v>
      </c>
      <c r="U106" s="4">
        <v>37.700000000000003</v>
      </c>
      <c r="V106">
        <v>56</v>
      </c>
      <c r="W106" s="4">
        <v>7</v>
      </c>
      <c r="X106" t="s">
        <v>37</v>
      </c>
      <c r="Y106">
        <f>IF(Limpopo_poultry_hatchery_production_RAW3[[#This Row],[Biosecurity_Check]]="Pass",0,1)</f>
        <v>0</v>
      </c>
      <c r="Z106" t="str">
        <f>IF(Limpopo_poultry_hatchery_production_RAW3[[#This Row],[Hatchability_Pct]]&lt;91, "⚠ Low Hatchability","√ OK")</f>
        <v>√ OK</v>
      </c>
      <c r="AA106">
        <f>IF(Limpopo_poultry_hatchery_production_RAW3[[#This Row],[QC Flag]]="√ OK", 0, 1)</f>
        <v>0</v>
      </c>
      <c r="AC106" t="s">
        <v>39</v>
      </c>
    </row>
    <row r="107" spans="1:29" x14ac:dyDescent="0.25">
      <c r="A107" s="2">
        <v>44694</v>
      </c>
      <c r="B107" s="2" t="str">
        <f>TEXT(Limpopo_poultry_hatchery_production_RAW3[[#This Row],[Week_Ending]], "mmm")</f>
        <v>May</v>
      </c>
      <c r="C107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07" t="s">
        <v>85</v>
      </c>
      <c r="E107" t="s">
        <v>25</v>
      </c>
      <c r="F107" t="s">
        <v>75</v>
      </c>
      <c r="G107" t="s">
        <v>86</v>
      </c>
      <c r="H107" t="s">
        <v>87</v>
      </c>
      <c r="I107" t="s">
        <v>66</v>
      </c>
      <c r="J107" s="3">
        <v>19000</v>
      </c>
      <c r="K107" s="38" t="s">
        <v>178</v>
      </c>
      <c r="L107" s="5">
        <f>(Limpopo_poultry_hatchery_production_RAW3[[#This Row],[Eggs_Fertile]]/Limpopo_poultry_hatchery_production_RAW3[[#This Row],[Eggs_Set]])*100</f>
        <v>91</v>
      </c>
      <c r="M107" s="9">
        <v>15800</v>
      </c>
      <c r="N107" s="3">
        <f>(Limpopo_poultry_hatchery_production_RAW3[[#This Row],[Eggs_Hatched]]/Limpopo_poultry_hatchery_production_RAW3[[#This Row],[Eggs_Fertile]])*100</f>
        <v>91.382301908617706</v>
      </c>
      <c r="O107" s="3">
        <v>15400</v>
      </c>
      <c r="P107" s="3">
        <v>298</v>
      </c>
      <c r="Q107" s="3">
        <v>102</v>
      </c>
      <c r="R107" s="3">
        <f>(Limpopo_poultry_hatchery_production_RAW3[[#This Row],[Chicks_Culled]]/Limpopo_poultry_hatchery_production_RAW3[[#This Row],[Eggs_Hatched]])*100</f>
        <v>0.64556962025316456</v>
      </c>
      <c r="S107" s="3">
        <v>7600</v>
      </c>
      <c r="T107" s="40" t="s">
        <v>91</v>
      </c>
      <c r="U107" s="4">
        <v>37.9</v>
      </c>
      <c r="V107">
        <v>55</v>
      </c>
      <c r="W107" s="4">
        <v>13</v>
      </c>
      <c r="X107" t="s">
        <v>37</v>
      </c>
      <c r="Y107">
        <f>IF(Limpopo_poultry_hatchery_production_RAW3[[#This Row],[Biosecurity_Check]]="Pass",0,1)</f>
        <v>0</v>
      </c>
      <c r="Z107" t="str">
        <f>IF(Limpopo_poultry_hatchery_production_RAW3[[#This Row],[Hatchability_Pct]]&lt;91, "⚠ Low Hatchability","√ OK")</f>
        <v>√ OK</v>
      </c>
      <c r="AA107">
        <f>IF(Limpopo_poultry_hatchery_production_RAW3[[#This Row],[QC Flag]]="√ OK", 0, 1)</f>
        <v>0</v>
      </c>
      <c r="AC107" t="s">
        <v>39</v>
      </c>
    </row>
    <row r="108" spans="1:29" x14ac:dyDescent="0.25">
      <c r="A108" s="2">
        <v>44701</v>
      </c>
      <c r="B108" s="2" t="str">
        <f>TEXT(Limpopo_poultry_hatchery_production_RAW3[[#This Row],[Week_Ending]], "mmm")</f>
        <v>May</v>
      </c>
      <c r="C108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08" t="s">
        <v>24</v>
      </c>
      <c r="E108" t="s">
        <v>25</v>
      </c>
      <c r="F108" t="s">
        <v>26</v>
      </c>
      <c r="G108" t="s">
        <v>27</v>
      </c>
      <c r="H108" t="s">
        <v>28</v>
      </c>
      <c r="I108" t="s">
        <v>29</v>
      </c>
      <c r="J108" s="3">
        <v>22000</v>
      </c>
      <c r="K108" s="38" t="s">
        <v>94</v>
      </c>
      <c r="L108" s="5">
        <f>(Limpopo_poultry_hatchery_production_RAW3[[#This Row],[Eggs_Fertile]]/Limpopo_poultry_hatchery_production_RAW3[[#This Row],[Eggs_Set]])*100</f>
        <v>96</v>
      </c>
      <c r="M108" s="9">
        <v>19500</v>
      </c>
      <c r="N108" s="3">
        <f>(Limpopo_poultry_hatchery_production_RAW3[[#This Row],[Eggs_Hatched]]/Limpopo_poultry_hatchery_production_RAW3[[#This Row],[Eggs_Fertile]])*100</f>
        <v>92.329545454545453</v>
      </c>
      <c r="O108" s="3">
        <v>19100</v>
      </c>
      <c r="P108" s="3">
        <v>288</v>
      </c>
      <c r="Q108" s="3">
        <v>112</v>
      </c>
      <c r="R108" s="3">
        <f>(Limpopo_poultry_hatchery_production_RAW3[[#This Row],[Chicks_Culled]]/Limpopo_poultry_hatchery_production_RAW3[[#This Row],[Eggs_Hatched]])*100</f>
        <v>0.57435897435897443</v>
      </c>
      <c r="S108" s="3">
        <v>8800</v>
      </c>
      <c r="T108" s="40" t="s">
        <v>34</v>
      </c>
      <c r="U108" s="4">
        <v>37.5</v>
      </c>
      <c r="V108">
        <v>59</v>
      </c>
      <c r="W108" s="4">
        <v>7</v>
      </c>
      <c r="X108" t="s">
        <v>37</v>
      </c>
      <c r="Y108">
        <f>IF(Limpopo_poultry_hatchery_production_RAW3[[#This Row],[Biosecurity_Check]]="Pass",0,1)</f>
        <v>0</v>
      </c>
      <c r="Z108" t="str">
        <f>IF(Limpopo_poultry_hatchery_production_RAW3[[#This Row],[Hatchability_Pct]]&lt;91, "⚠ Low Hatchability","√ OK")</f>
        <v>√ OK</v>
      </c>
      <c r="AA108">
        <f>IF(Limpopo_poultry_hatchery_production_RAW3[[#This Row],[QC Flag]]="√ OK", 0, 1)</f>
        <v>0</v>
      </c>
      <c r="AB108" t="s">
        <v>143</v>
      </c>
      <c r="AC108" t="s">
        <v>242</v>
      </c>
    </row>
    <row r="109" spans="1:29" x14ac:dyDescent="0.25">
      <c r="A109" s="2">
        <v>44701</v>
      </c>
      <c r="B109" s="2" t="str">
        <f>TEXT(Limpopo_poultry_hatchery_production_RAW3[[#This Row],[Week_Ending]], "mmm")</f>
        <v>May</v>
      </c>
      <c r="C109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09" t="s">
        <v>40</v>
      </c>
      <c r="E109" t="s">
        <v>25</v>
      </c>
      <c r="F109" t="s">
        <v>26</v>
      </c>
      <c r="G109" t="s">
        <v>41</v>
      </c>
      <c r="H109" t="s">
        <v>42</v>
      </c>
      <c r="I109" t="s">
        <v>29</v>
      </c>
      <c r="J109" s="3">
        <v>18500</v>
      </c>
      <c r="K109" s="38" t="s">
        <v>144</v>
      </c>
      <c r="L109" s="5">
        <f>(Limpopo_poultry_hatchery_production_RAW3[[#This Row],[Eggs_Fertile]]/Limpopo_poultry_hatchery_production_RAW3[[#This Row],[Eggs_Set]])*100</f>
        <v>97</v>
      </c>
      <c r="M109" s="9">
        <v>16500</v>
      </c>
      <c r="N109" s="3">
        <f>(Limpopo_poultry_hatchery_production_RAW3[[#This Row],[Eggs_Hatched]]/Limpopo_poultry_hatchery_production_RAW3[[#This Row],[Eggs_Fertile]])*100</f>
        <v>91.947617720813597</v>
      </c>
      <c r="O109" s="3">
        <v>16100</v>
      </c>
      <c r="P109" s="3">
        <v>298</v>
      </c>
      <c r="Q109" s="3">
        <v>102</v>
      </c>
      <c r="R109" s="3">
        <f>(Limpopo_poultry_hatchery_production_RAW3[[#This Row],[Chicks_Culled]]/Limpopo_poultry_hatchery_production_RAW3[[#This Row],[Eggs_Hatched]])*100</f>
        <v>0.61818181818181817</v>
      </c>
      <c r="S109" s="3">
        <v>7400</v>
      </c>
      <c r="T109" s="40" t="s">
        <v>47</v>
      </c>
      <c r="U109" s="4">
        <v>37.5</v>
      </c>
      <c r="V109">
        <v>59</v>
      </c>
      <c r="W109" s="4">
        <v>6</v>
      </c>
      <c r="X109" t="s">
        <v>37</v>
      </c>
      <c r="Y109">
        <f>IF(Limpopo_poultry_hatchery_production_RAW3[[#This Row],[Biosecurity_Check]]="Pass",0,1)</f>
        <v>0</v>
      </c>
      <c r="Z109" t="str">
        <f>IF(Limpopo_poultry_hatchery_production_RAW3[[#This Row],[Hatchability_Pct]]&lt;91, "⚠ Low Hatchability","√ OK")</f>
        <v>√ OK</v>
      </c>
      <c r="AA109">
        <f>IF(Limpopo_poultry_hatchery_production_RAW3[[#This Row],[QC Flag]]="√ OK", 0, 1)</f>
        <v>0</v>
      </c>
      <c r="AB109" t="s">
        <v>143</v>
      </c>
      <c r="AC109" t="s">
        <v>39</v>
      </c>
    </row>
    <row r="110" spans="1:29" x14ac:dyDescent="0.25">
      <c r="A110" s="2">
        <v>44701</v>
      </c>
      <c r="B110" s="2" t="str">
        <f>TEXT(Limpopo_poultry_hatchery_production_RAW3[[#This Row],[Week_Ending]], "mmm")</f>
        <v>May</v>
      </c>
      <c r="C110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10" t="s">
        <v>50</v>
      </c>
      <c r="E110" t="s">
        <v>51</v>
      </c>
      <c r="F110" t="s">
        <v>26</v>
      </c>
      <c r="G110" t="s">
        <v>52</v>
      </c>
      <c r="H110" t="s">
        <v>53</v>
      </c>
      <c r="I110" t="s">
        <v>54</v>
      </c>
      <c r="J110" s="3">
        <v>15000</v>
      </c>
      <c r="K110" s="38" t="s">
        <v>81</v>
      </c>
      <c r="L110" s="5">
        <f>(Limpopo_poultry_hatchery_production_RAW3[[#This Row],[Eggs_Fertile]]/Limpopo_poultry_hatchery_production_RAW3[[#This Row],[Eggs_Set]])*100</f>
        <v>96</v>
      </c>
      <c r="M110" s="9">
        <v>13100</v>
      </c>
      <c r="N110" s="3">
        <f>(Limpopo_poultry_hatchery_production_RAW3[[#This Row],[Eggs_Hatched]]/Limpopo_poultry_hatchery_production_RAW3[[#This Row],[Eggs_Fertile]])*100</f>
        <v>90.972222222222214</v>
      </c>
      <c r="O110" s="3">
        <v>12900</v>
      </c>
      <c r="P110" s="3">
        <v>165</v>
      </c>
      <c r="Q110" s="3">
        <v>35</v>
      </c>
      <c r="R110" s="3">
        <f>(Limpopo_poultry_hatchery_production_RAW3[[#This Row],[Chicks_Culled]]/Limpopo_poultry_hatchery_production_RAW3[[#This Row],[Eggs_Hatched]])*100</f>
        <v>0.26717557251908397</v>
      </c>
      <c r="S110" s="3">
        <v>6000</v>
      </c>
      <c r="T110" s="40" t="s">
        <v>58</v>
      </c>
      <c r="U110" s="4">
        <v>37.4</v>
      </c>
      <c r="V110">
        <v>60</v>
      </c>
      <c r="W110" s="4">
        <v>4</v>
      </c>
      <c r="X110" t="s">
        <v>37</v>
      </c>
      <c r="Y110">
        <f>IF(Limpopo_poultry_hatchery_production_RAW3[[#This Row],[Biosecurity_Check]]="Pass",0,1)</f>
        <v>0</v>
      </c>
      <c r="Z110" t="str">
        <f>IF(Limpopo_poultry_hatchery_production_RAW3[[#This Row],[Hatchability_Pct]]&lt;91, "⚠ Low Hatchability","√ OK")</f>
        <v>⚠ Low Hatchability</v>
      </c>
      <c r="AA110">
        <f>IF(Limpopo_poultry_hatchery_production_RAW3[[#This Row],[QC Flag]]="√ OK", 0, 1)</f>
        <v>1</v>
      </c>
      <c r="AB110" t="s">
        <v>61</v>
      </c>
      <c r="AC110" t="s">
        <v>39</v>
      </c>
    </row>
    <row r="111" spans="1:29" x14ac:dyDescent="0.25">
      <c r="A111" s="2">
        <v>44701</v>
      </c>
      <c r="B111" s="2" t="str">
        <f>TEXT(Limpopo_poultry_hatchery_production_RAW3[[#This Row],[Week_Ending]], "mmm")</f>
        <v>May</v>
      </c>
      <c r="C111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11" t="s">
        <v>62</v>
      </c>
      <c r="E111" t="s">
        <v>25</v>
      </c>
      <c r="F111" t="s">
        <v>63</v>
      </c>
      <c r="G111" t="s">
        <v>64</v>
      </c>
      <c r="H111" t="s">
        <v>65</v>
      </c>
      <c r="I111" t="s">
        <v>66</v>
      </c>
      <c r="J111" s="3">
        <v>25000</v>
      </c>
      <c r="K111" s="38" t="s">
        <v>150</v>
      </c>
      <c r="L111" s="5">
        <f>(Limpopo_poultry_hatchery_production_RAW3[[#This Row],[Eggs_Fertile]]/Limpopo_poultry_hatchery_production_RAW3[[#This Row],[Eggs_Set]])*100</f>
        <v>96</v>
      </c>
      <c r="M111" s="9">
        <v>22100</v>
      </c>
      <c r="N111" s="3">
        <f>(Limpopo_poultry_hatchery_production_RAW3[[#This Row],[Eggs_Hatched]]/Limpopo_poultry_hatchery_production_RAW3[[#This Row],[Eggs_Fertile]])*100</f>
        <v>92.083333333333329</v>
      </c>
      <c r="O111" s="3">
        <v>21600</v>
      </c>
      <c r="P111" s="3">
        <v>355</v>
      </c>
      <c r="Q111" s="3">
        <v>145</v>
      </c>
      <c r="R111" s="3">
        <f>(Limpopo_poultry_hatchery_production_RAW3[[#This Row],[Chicks_Culled]]/Limpopo_poultry_hatchery_production_RAW3[[#This Row],[Eggs_Hatched]])*100</f>
        <v>0.65610859728506787</v>
      </c>
      <c r="S111" s="3">
        <v>10000</v>
      </c>
      <c r="T111" s="40" t="s">
        <v>69</v>
      </c>
      <c r="U111" s="4">
        <v>37.5</v>
      </c>
      <c r="V111">
        <v>58</v>
      </c>
      <c r="W111" s="4">
        <v>10</v>
      </c>
      <c r="X111" t="s">
        <v>37</v>
      </c>
      <c r="Y111">
        <f>IF(Limpopo_poultry_hatchery_production_RAW3[[#This Row],[Biosecurity_Check]]="Pass",0,1)</f>
        <v>0</v>
      </c>
      <c r="Z111" t="str">
        <f>IF(Limpopo_poultry_hatchery_production_RAW3[[#This Row],[Hatchability_Pct]]&lt;91, "⚠ Low Hatchability","√ OK")</f>
        <v>√ OK</v>
      </c>
      <c r="AA111">
        <f>IF(Limpopo_poultry_hatchery_production_RAW3[[#This Row],[QC Flag]]="√ OK", 0, 1)</f>
        <v>0</v>
      </c>
      <c r="AB111" t="s">
        <v>143</v>
      </c>
      <c r="AC111" t="s">
        <v>39</v>
      </c>
    </row>
    <row r="112" spans="1:29" x14ac:dyDescent="0.25">
      <c r="A112" s="2">
        <v>44701</v>
      </c>
      <c r="B112" s="2" t="str">
        <f>TEXT(Limpopo_poultry_hatchery_production_RAW3[[#This Row],[Week_Ending]], "mmm")</f>
        <v>May</v>
      </c>
      <c r="C112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12" t="s">
        <v>73</v>
      </c>
      <c r="E112" t="s">
        <v>74</v>
      </c>
      <c r="F112" t="s">
        <v>75</v>
      </c>
      <c r="G112" t="s">
        <v>76</v>
      </c>
      <c r="H112" t="s">
        <v>77</v>
      </c>
      <c r="I112" t="s">
        <v>29</v>
      </c>
      <c r="J112" s="3">
        <v>12000</v>
      </c>
      <c r="K112" s="38" t="s">
        <v>153</v>
      </c>
      <c r="L112" s="5">
        <f>(Limpopo_poultry_hatchery_production_RAW3[[#This Row],[Eggs_Fertile]]/Limpopo_poultry_hatchery_production_RAW3[[#This Row],[Eggs_Set]])*100</f>
        <v>97</v>
      </c>
      <c r="M112" s="9">
        <v>10700</v>
      </c>
      <c r="N112" s="3">
        <f>(Limpopo_poultry_hatchery_production_RAW3[[#This Row],[Eggs_Hatched]]/Limpopo_poultry_hatchery_production_RAW3[[#This Row],[Eggs_Fertile]])*100</f>
        <v>91.924398625429546</v>
      </c>
      <c r="O112" s="3">
        <v>10500</v>
      </c>
      <c r="P112" s="3">
        <v>150</v>
      </c>
      <c r="Q112" s="3">
        <v>50</v>
      </c>
      <c r="R112" s="3">
        <f>(Limpopo_poultry_hatchery_production_RAW3[[#This Row],[Chicks_Culled]]/Limpopo_poultry_hatchery_production_RAW3[[#This Row],[Eggs_Hatched]])*100</f>
        <v>0.46728971962616817</v>
      </c>
      <c r="S112" s="3">
        <v>4800</v>
      </c>
      <c r="T112" s="40" t="s">
        <v>81</v>
      </c>
      <c r="U112" s="4">
        <v>37.5</v>
      </c>
      <c r="V112">
        <v>58</v>
      </c>
      <c r="W112" s="4">
        <v>3</v>
      </c>
      <c r="X112" t="s">
        <v>37</v>
      </c>
      <c r="Y112">
        <f>IF(Limpopo_poultry_hatchery_production_RAW3[[#This Row],[Biosecurity_Check]]="Pass",0,1)</f>
        <v>0</v>
      </c>
      <c r="Z112" t="str">
        <f>IF(Limpopo_poultry_hatchery_production_RAW3[[#This Row],[Hatchability_Pct]]&lt;91, "⚠ Low Hatchability","√ OK")</f>
        <v>√ OK</v>
      </c>
      <c r="AA112">
        <f>IF(Limpopo_poultry_hatchery_production_RAW3[[#This Row],[QC Flag]]="√ OK", 0, 1)</f>
        <v>0</v>
      </c>
      <c r="AB112" t="s">
        <v>156</v>
      </c>
      <c r="AC112" t="s">
        <v>39</v>
      </c>
    </row>
    <row r="113" spans="1:29" x14ac:dyDescent="0.25">
      <c r="A113" s="2">
        <v>44701</v>
      </c>
      <c r="B113" s="2" t="str">
        <f>TEXT(Limpopo_poultry_hatchery_production_RAW3[[#This Row],[Week_Ending]], "mmm")</f>
        <v>May</v>
      </c>
      <c r="C113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13" t="s">
        <v>85</v>
      </c>
      <c r="E113" t="s">
        <v>25</v>
      </c>
      <c r="F113" t="s">
        <v>75</v>
      </c>
      <c r="G113" t="s">
        <v>86</v>
      </c>
      <c r="H113" t="s">
        <v>87</v>
      </c>
      <c r="I113" t="s">
        <v>66</v>
      </c>
      <c r="J113" s="3">
        <v>19000</v>
      </c>
      <c r="K113" s="38" t="s">
        <v>157</v>
      </c>
      <c r="L113" s="5">
        <f>(Limpopo_poultry_hatchery_production_RAW3[[#This Row],[Eggs_Fertile]]/Limpopo_poultry_hatchery_production_RAW3[[#This Row],[Eggs_Set]])*100</f>
        <v>97</v>
      </c>
      <c r="M113" s="9">
        <v>16900</v>
      </c>
      <c r="N113" s="3">
        <f>(Limpopo_poultry_hatchery_production_RAW3[[#This Row],[Eggs_Hatched]]/Limpopo_poultry_hatchery_production_RAW3[[#This Row],[Eggs_Fertile]])*100</f>
        <v>91.698317959848069</v>
      </c>
      <c r="O113" s="3">
        <v>16500</v>
      </c>
      <c r="P113" s="3">
        <v>280</v>
      </c>
      <c r="Q113" s="3">
        <v>120</v>
      </c>
      <c r="R113" s="3">
        <f>(Limpopo_poultry_hatchery_production_RAW3[[#This Row],[Chicks_Culled]]/Limpopo_poultry_hatchery_production_RAW3[[#This Row],[Eggs_Hatched]])*100</f>
        <v>0.7100591715976331</v>
      </c>
      <c r="S113" s="3">
        <v>7600</v>
      </c>
      <c r="T113" s="40" t="s">
        <v>91</v>
      </c>
      <c r="U113" s="4">
        <v>37.6</v>
      </c>
      <c r="V113">
        <v>58</v>
      </c>
      <c r="W113" s="4">
        <v>6</v>
      </c>
      <c r="X113" t="s">
        <v>37</v>
      </c>
      <c r="Y113">
        <f>IF(Limpopo_poultry_hatchery_production_RAW3[[#This Row],[Biosecurity_Check]]="Pass",0,1)</f>
        <v>0</v>
      </c>
      <c r="Z113" t="str">
        <f>IF(Limpopo_poultry_hatchery_production_RAW3[[#This Row],[Hatchability_Pct]]&lt;91, "⚠ Low Hatchability","√ OK")</f>
        <v>√ OK</v>
      </c>
      <c r="AA113">
        <f>IF(Limpopo_poultry_hatchery_production_RAW3[[#This Row],[QC Flag]]="√ OK", 0, 1)</f>
        <v>0</v>
      </c>
      <c r="AB113" t="s">
        <v>143</v>
      </c>
      <c r="AC113" t="s">
        <v>39</v>
      </c>
    </row>
    <row r="114" spans="1:29" x14ac:dyDescent="0.25">
      <c r="A114" s="2">
        <v>44708</v>
      </c>
      <c r="B114" s="2" t="str">
        <f>TEXT(Limpopo_poultry_hatchery_production_RAW3[[#This Row],[Week_Ending]], "mmm")</f>
        <v>May</v>
      </c>
      <c r="C114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14" t="s">
        <v>24</v>
      </c>
      <c r="E114" t="s">
        <v>25</v>
      </c>
      <c r="F114" t="s">
        <v>26</v>
      </c>
      <c r="G114" t="s">
        <v>27</v>
      </c>
      <c r="H114" t="s">
        <v>28</v>
      </c>
      <c r="I114" t="s">
        <v>29</v>
      </c>
      <c r="J114" s="3">
        <v>22000</v>
      </c>
      <c r="K114" s="38" t="s">
        <v>30</v>
      </c>
      <c r="L114" s="5">
        <f>(Limpopo_poultry_hatchery_production_RAW3[[#This Row],[Eggs_Fertile]]/Limpopo_poultry_hatchery_production_RAW3[[#This Row],[Eggs_Set]])*100</f>
        <v>95</v>
      </c>
      <c r="M114" s="9">
        <v>19200</v>
      </c>
      <c r="N114" s="3">
        <f>(Limpopo_poultry_hatchery_production_RAW3[[#This Row],[Eggs_Hatched]]/Limpopo_poultry_hatchery_production_RAW3[[#This Row],[Eggs_Fertile]])*100</f>
        <v>91.866028708133967</v>
      </c>
      <c r="O114" s="3">
        <v>18800</v>
      </c>
      <c r="P114" s="3">
        <v>305</v>
      </c>
      <c r="Q114" s="3">
        <v>95</v>
      </c>
      <c r="R114" s="3">
        <f>(Limpopo_poultry_hatchery_production_RAW3[[#This Row],[Chicks_Culled]]/Limpopo_poultry_hatchery_production_RAW3[[#This Row],[Eggs_Hatched]])*100</f>
        <v>0.49479166666666663</v>
      </c>
      <c r="S114" s="3">
        <v>8800</v>
      </c>
      <c r="T114" s="40" t="s">
        <v>34</v>
      </c>
      <c r="U114" s="4">
        <v>37.6</v>
      </c>
      <c r="V114">
        <v>58</v>
      </c>
      <c r="W114" s="4">
        <v>10</v>
      </c>
      <c r="X114" t="s">
        <v>37</v>
      </c>
      <c r="Y114">
        <f>IF(Limpopo_poultry_hatchery_production_RAW3[[#This Row],[Biosecurity_Check]]="Pass",0,1)</f>
        <v>0</v>
      </c>
      <c r="Z114" t="str">
        <f>IF(Limpopo_poultry_hatchery_production_RAW3[[#This Row],[Hatchability_Pct]]&lt;91, "⚠ Low Hatchability","√ OK")</f>
        <v>√ OK</v>
      </c>
      <c r="AA114">
        <f>IF(Limpopo_poultry_hatchery_production_RAW3[[#This Row],[QC Flag]]="√ OK", 0, 1)</f>
        <v>0</v>
      </c>
      <c r="AC114" t="s">
        <v>39</v>
      </c>
    </row>
    <row r="115" spans="1:29" x14ac:dyDescent="0.25">
      <c r="A115" s="2">
        <v>44708</v>
      </c>
      <c r="B115" s="2" t="str">
        <f>TEXT(Limpopo_poultry_hatchery_production_RAW3[[#This Row],[Week_Ending]], "mmm")</f>
        <v>May</v>
      </c>
      <c r="C115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15" t="s">
        <v>40</v>
      </c>
      <c r="E115" t="s">
        <v>25</v>
      </c>
      <c r="F115" t="s">
        <v>26</v>
      </c>
      <c r="G115" t="s">
        <v>41</v>
      </c>
      <c r="H115" t="s">
        <v>42</v>
      </c>
      <c r="I115" t="s">
        <v>29</v>
      </c>
      <c r="J115" s="3">
        <v>18500</v>
      </c>
      <c r="K115" s="38" t="s">
        <v>43</v>
      </c>
      <c r="L115" s="5">
        <f>(Limpopo_poultry_hatchery_production_RAW3[[#This Row],[Eggs_Fertile]]/Limpopo_poultry_hatchery_production_RAW3[[#This Row],[Eggs_Set]])*100</f>
        <v>94</v>
      </c>
      <c r="M115" s="9">
        <v>15900</v>
      </c>
      <c r="N115" s="3">
        <f>(Limpopo_poultry_hatchery_production_RAW3[[#This Row],[Eggs_Hatched]]/Limpopo_poultry_hatchery_production_RAW3[[#This Row],[Eggs_Fertile]])*100</f>
        <v>91.431857389304199</v>
      </c>
      <c r="O115" s="3">
        <v>15500</v>
      </c>
      <c r="P115" s="3">
        <v>295</v>
      </c>
      <c r="Q115" s="3">
        <v>105</v>
      </c>
      <c r="R115" s="3">
        <f>(Limpopo_poultry_hatchery_production_RAW3[[#This Row],[Chicks_Culled]]/Limpopo_poultry_hatchery_production_RAW3[[#This Row],[Eggs_Hatched]])*100</f>
        <v>0.66037735849056611</v>
      </c>
      <c r="S115" s="3">
        <v>7400</v>
      </c>
      <c r="T115" s="40" t="s">
        <v>47</v>
      </c>
      <c r="U115" s="4">
        <v>37.6</v>
      </c>
      <c r="V115">
        <v>58</v>
      </c>
      <c r="W115" s="4">
        <v>9</v>
      </c>
      <c r="X115" t="s">
        <v>37</v>
      </c>
      <c r="Y115">
        <f>IF(Limpopo_poultry_hatchery_production_RAW3[[#This Row],[Biosecurity_Check]]="Pass",0,1)</f>
        <v>0</v>
      </c>
      <c r="Z115" t="str">
        <f>IF(Limpopo_poultry_hatchery_production_RAW3[[#This Row],[Hatchability_Pct]]&lt;91, "⚠ Low Hatchability","√ OK")</f>
        <v>√ OK</v>
      </c>
      <c r="AA115">
        <f>IF(Limpopo_poultry_hatchery_production_RAW3[[#This Row],[QC Flag]]="√ OK", 0, 1)</f>
        <v>0</v>
      </c>
      <c r="AC115" t="s">
        <v>39</v>
      </c>
    </row>
    <row r="116" spans="1:29" x14ac:dyDescent="0.25">
      <c r="A116" s="2">
        <v>44708</v>
      </c>
      <c r="B116" s="2" t="str">
        <f>TEXT(Limpopo_poultry_hatchery_production_RAW3[[#This Row],[Week_Ending]], "mmm")</f>
        <v>May</v>
      </c>
      <c r="C116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16" t="s">
        <v>50</v>
      </c>
      <c r="E116" t="s">
        <v>51</v>
      </c>
      <c r="F116" t="s">
        <v>26</v>
      </c>
      <c r="G116" t="s">
        <v>52</v>
      </c>
      <c r="H116" t="s">
        <v>53</v>
      </c>
      <c r="I116" t="s">
        <v>54</v>
      </c>
      <c r="J116" s="3">
        <v>15000</v>
      </c>
      <c r="K116" s="38" t="s">
        <v>55</v>
      </c>
      <c r="L116" s="5">
        <f>(Limpopo_poultry_hatchery_production_RAW3[[#This Row],[Eggs_Fertile]]/Limpopo_poultry_hatchery_production_RAW3[[#This Row],[Eggs_Set]])*100</f>
        <v>94</v>
      </c>
      <c r="M116" s="9">
        <v>12800</v>
      </c>
      <c r="N116" s="3">
        <f>(Limpopo_poultry_hatchery_production_RAW3[[#This Row],[Eggs_Hatched]]/Limpopo_poultry_hatchery_production_RAW3[[#This Row],[Eggs_Fertile]])*100</f>
        <v>90.780141843971634</v>
      </c>
      <c r="O116" s="3">
        <v>12600</v>
      </c>
      <c r="P116" s="3">
        <v>170</v>
      </c>
      <c r="Q116" s="3">
        <v>30</v>
      </c>
      <c r="R116" s="3">
        <f>(Limpopo_poultry_hatchery_production_RAW3[[#This Row],[Chicks_Culled]]/Limpopo_poultry_hatchery_production_RAW3[[#This Row],[Eggs_Hatched]])*100</f>
        <v>0.234375</v>
      </c>
      <c r="S116" s="3">
        <v>6000</v>
      </c>
      <c r="T116" s="40" t="s">
        <v>58</v>
      </c>
      <c r="U116" s="4">
        <v>37.5</v>
      </c>
      <c r="V116">
        <v>59</v>
      </c>
      <c r="W116" s="4">
        <v>6</v>
      </c>
      <c r="X116" t="s">
        <v>37</v>
      </c>
      <c r="Y116">
        <f>IF(Limpopo_poultry_hatchery_production_RAW3[[#This Row],[Biosecurity_Check]]="Pass",0,1)</f>
        <v>0</v>
      </c>
      <c r="Z116" t="str">
        <f>IF(Limpopo_poultry_hatchery_production_RAW3[[#This Row],[Hatchability_Pct]]&lt;91, "⚠ Low Hatchability","√ OK")</f>
        <v>⚠ Low Hatchability</v>
      </c>
      <c r="AA116">
        <f>IF(Limpopo_poultry_hatchery_production_RAW3[[#This Row],[QC Flag]]="√ OK", 0, 1)</f>
        <v>1</v>
      </c>
      <c r="AC116" t="s">
        <v>39</v>
      </c>
    </row>
    <row r="117" spans="1:29" x14ac:dyDescent="0.25">
      <c r="A117" s="2">
        <v>44708</v>
      </c>
      <c r="B117" s="2" t="str">
        <f>TEXT(Limpopo_poultry_hatchery_production_RAW3[[#This Row],[Week_Ending]], "mmm")</f>
        <v>May</v>
      </c>
      <c r="C117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17" t="s">
        <v>62</v>
      </c>
      <c r="E117" t="s">
        <v>25</v>
      </c>
      <c r="F117" t="s">
        <v>63</v>
      </c>
      <c r="G117" t="s">
        <v>64</v>
      </c>
      <c r="H117" t="s">
        <v>65</v>
      </c>
      <c r="I117" t="s">
        <v>66</v>
      </c>
      <c r="J117" s="3">
        <v>25000</v>
      </c>
      <c r="K117" s="38" t="s">
        <v>67</v>
      </c>
      <c r="L117" s="5">
        <f>(Limpopo_poultry_hatchery_production_RAW3[[#This Row],[Eggs_Fertile]]/Limpopo_poultry_hatchery_production_RAW3[[#This Row],[Eggs_Set]])*100</f>
        <v>94</v>
      </c>
      <c r="M117" s="9">
        <v>21600</v>
      </c>
      <c r="N117" s="3">
        <f>(Limpopo_poultry_hatchery_production_RAW3[[#This Row],[Eggs_Hatched]]/Limpopo_poultry_hatchery_production_RAW3[[#This Row],[Eggs_Fertile]])*100</f>
        <v>91.914893617021278</v>
      </c>
      <c r="O117" s="3">
        <v>21100</v>
      </c>
      <c r="P117" s="3">
        <v>375</v>
      </c>
      <c r="Q117" s="3">
        <v>125</v>
      </c>
      <c r="R117" s="3">
        <f>(Limpopo_poultry_hatchery_production_RAW3[[#This Row],[Chicks_Culled]]/Limpopo_poultry_hatchery_production_RAW3[[#This Row],[Eggs_Hatched]])*100</f>
        <v>0.57870370370370372</v>
      </c>
      <c r="S117" s="3">
        <v>10000</v>
      </c>
      <c r="T117" s="40" t="s">
        <v>69</v>
      </c>
      <c r="U117" s="4">
        <v>37.6</v>
      </c>
      <c r="V117">
        <v>58</v>
      </c>
      <c r="W117" s="4">
        <v>13</v>
      </c>
      <c r="X117" t="s">
        <v>37</v>
      </c>
      <c r="Y117">
        <f>IF(Limpopo_poultry_hatchery_production_RAW3[[#This Row],[Biosecurity_Check]]="Pass",0,1)</f>
        <v>0</v>
      </c>
      <c r="Z117" t="str">
        <f>IF(Limpopo_poultry_hatchery_production_RAW3[[#This Row],[Hatchability_Pct]]&lt;91, "⚠ Low Hatchability","√ OK")</f>
        <v>√ OK</v>
      </c>
      <c r="AA117">
        <f>IF(Limpopo_poultry_hatchery_production_RAW3[[#This Row],[QC Flag]]="√ OK", 0, 1)</f>
        <v>0</v>
      </c>
      <c r="AC117" t="s">
        <v>39</v>
      </c>
    </row>
    <row r="118" spans="1:29" x14ac:dyDescent="0.25">
      <c r="A118" s="2">
        <v>44708</v>
      </c>
      <c r="B118" s="2" t="str">
        <f>TEXT(Limpopo_poultry_hatchery_production_RAW3[[#This Row],[Week_Ending]], "mmm")</f>
        <v>May</v>
      </c>
      <c r="C118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18" t="s">
        <v>73</v>
      </c>
      <c r="E118" t="s">
        <v>74</v>
      </c>
      <c r="F118" t="s">
        <v>75</v>
      </c>
      <c r="G118" t="s">
        <v>76</v>
      </c>
      <c r="H118" t="s">
        <v>77</v>
      </c>
      <c r="I118" t="s">
        <v>29</v>
      </c>
      <c r="J118" s="3">
        <v>12000</v>
      </c>
      <c r="K118" s="38" t="s">
        <v>78</v>
      </c>
      <c r="L118" s="5">
        <f>(Limpopo_poultry_hatchery_production_RAW3[[#This Row],[Eggs_Fertile]]/Limpopo_poultry_hatchery_production_RAW3[[#This Row],[Eggs_Set]])*100</f>
        <v>95</v>
      </c>
      <c r="M118" s="9">
        <v>10500</v>
      </c>
      <c r="N118" s="3">
        <f>(Limpopo_poultry_hatchery_production_RAW3[[#This Row],[Eggs_Hatched]]/Limpopo_poultry_hatchery_production_RAW3[[#This Row],[Eggs_Fertile]])*100</f>
        <v>92.10526315789474</v>
      </c>
      <c r="O118" s="3">
        <v>10300</v>
      </c>
      <c r="P118" s="3">
        <v>158</v>
      </c>
      <c r="Q118" s="3">
        <v>42</v>
      </c>
      <c r="R118" s="3">
        <f>(Limpopo_poultry_hatchery_production_RAW3[[#This Row],[Chicks_Culled]]/Limpopo_poultry_hatchery_production_RAW3[[#This Row],[Eggs_Hatched]])*100</f>
        <v>0.4</v>
      </c>
      <c r="S118" s="3">
        <v>4800</v>
      </c>
      <c r="T118" s="40" t="s">
        <v>81</v>
      </c>
      <c r="U118" s="4">
        <v>37.5</v>
      </c>
      <c r="V118">
        <v>58</v>
      </c>
      <c r="W118" s="4">
        <v>4</v>
      </c>
      <c r="X118" t="s">
        <v>37</v>
      </c>
      <c r="Y118">
        <f>IF(Limpopo_poultry_hatchery_production_RAW3[[#This Row],[Biosecurity_Check]]="Pass",0,1)</f>
        <v>0</v>
      </c>
      <c r="Z118" t="str">
        <f>IF(Limpopo_poultry_hatchery_production_RAW3[[#This Row],[Hatchability_Pct]]&lt;91, "⚠ Low Hatchability","√ OK")</f>
        <v>√ OK</v>
      </c>
      <c r="AA118">
        <f>IF(Limpopo_poultry_hatchery_production_RAW3[[#This Row],[QC Flag]]="√ OK", 0, 1)</f>
        <v>0</v>
      </c>
      <c r="AC118" t="s">
        <v>39</v>
      </c>
    </row>
    <row r="119" spans="1:29" x14ac:dyDescent="0.25">
      <c r="A119" s="2">
        <v>44708</v>
      </c>
      <c r="B119" s="2" t="str">
        <f>TEXT(Limpopo_poultry_hatchery_production_RAW3[[#This Row],[Week_Ending]], "mmm")</f>
        <v>May</v>
      </c>
      <c r="C119" s="2" t="str">
        <f>IF(OR(Limpopo_poultry_hatchery_production_RAW3[[#This Row],[Month]]="Jan", Limpopo_poultry_hatchery_production_RAW3[[#This Row],[Month]]="Feb", Limpopo_poultry_hatchery_production_RAW3[[#This Row],[Month]]="Mar"), "Q1", "Q2")</f>
        <v>Q2</v>
      </c>
      <c r="D119" t="s">
        <v>85</v>
      </c>
      <c r="E119" t="s">
        <v>25</v>
      </c>
      <c r="F119" t="s">
        <v>75</v>
      </c>
      <c r="G119" t="s">
        <v>86</v>
      </c>
      <c r="H119" t="s">
        <v>87</v>
      </c>
      <c r="I119" t="s">
        <v>66</v>
      </c>
      <c r="J119" s="3">
        <v>19000</v>
      </c>
      <c r="K119" s="38" t="s">
        <v>88</v>
      </c>
      <c r="L119" s="5">
        <f>(Limpopo_poultry_hatchery_production_RAW3[[#This Row],[Eggs_Fertile]]/Limpopo_poultry_hatchery_production_RAW3[[#This Row],[Eggs_Set]])*100</f>
        <v>94</v>
      </c>
      <c r="M119" s="9">
        <v>16400</v>
      </c>
      <c r="N119" s="3">
        <f>(Limpopo_poultry_hatchery_production_RAW3[[#This Row],[Eggs_Hatched]]/Limpopo_poultry_hatchery_production_RAW3[[#This Row],[Eggs_Fertile]])*100</f>
        <v>91.82530795072789</v>
      </c>
      <c r="O119" s="3">
        <v>16000</v>
      </c>
      <c r="P119" s="3">
        <v>286</v>
      </c>
      <c r="Q119" s="3">
        <v>114</v>
      </c>
      <c r="R119" s="3">
        <f>(Limpopo_poultry_hatchery_production_RAW3[[#This Row],[Chicks_Culled]]/Limpopo_poultry_hatchery_production_RAW3[[#This Row],[Eggs_Hatched]])*100</f>
        <v>0.69512195121951226</v>
      </c>
      <c r="S119" s="3">
        <v>7600</v>
      </c>
      <c r="T119" s="40" t="s">
        <v>91</v>
      </c>
      <c r="U119" s="4">
        <v>37.700000000000003</v>
      </c>
      <c r="V119">
        <v>57</v>
      </c>
      <c r="W119" s="4">
        <v>8</v>
      </c>
      <c r="X119" t="s">
        <v>37</v>
      </c>
      <c r="Y119">
        <f>IF(Limpopo_poultry_hatchery_production_RAW3[[#This Row],[Biosecurity_Check]]="Pass",0,1)</f>
        <v>0</v>
      </c>
      <c r="Z119" t="str">
        <f>IF(Limpopo_poultry_hatchery_production_RAW3[[#This Row],[Hatchability_Pct]]&lt;91, "⚠ Low Hatchability","√ OK")</f>
        <v>√ OK</v>
      </c>
      <c r="AA119">
        <f>IF(Limpopo_poultry_hatchery_production_RAW3[[#This Row],[QC Flag]]="√ OK", 0, 1)</f>
        <v>0</v>
      </c>
      <c r="AC119" t="s">
        <v>39</v>
      </c>
    </row>
  </sheetData>
  <phoneticPr fontId="1" type="noConversion"/>
  <conditionalFormatting sqref="N1:N119 L120:L1048576">
    <cfRule type="cellIs" priority="1" operator="lessThan">
      <formula>90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4618-ED3B-486D-8A93-B47C0002A113}">
  <dimension ref="A1:C25"/>
  <sheetViews>
    <sheetView tabSelected="1" workbookViewId="0">
      <selection activeCell="B22" sqref="B22"/>
    </sheetView>
  </sheetViews>
  <sheetFormatPr defaultRowHeight="15" x14ac:dyDescent="0.25"/>
  <cols>
    <col min="1" max="1" width="39.85546875" customWidth="1"/>
    <col min="2" max="2" width="12.140625" customWidth="1"/>
    <col min="3" max="3" width="72.140625" customWidth="1"/>
  </cols>
  <sheetData>
    <row r="1" spans="1:3" x14ac:dyDescent="0.25">
      <c r="A1" s="42" t="s">
        <v>354</v>
      </c>
      <c r="B1" s="42" t="s">
        <v>279</v>
      </c>
      <c r="C1" s="42" t="s">
        <v>355</v>
      </c>
    </row>
    <row r="2" spans="1:3" x14ac:dyDescent="0.25">
      <c r="A2" s="41" t="s">
        <v>0</v>
      </c>
      <c r="B2" s="41" t="s">
        <v>356</v>
      </c>
      <c r="C2" s="41" t="s">
        <v>357</v>
      </c>
    </row>
    <row r="3" spans="1:3" x14ac:dyDescent="0.25">
      <c r="A3" s="41" t="s">
        <v>358</v>
      </c>
      <c r="B3" s="41" t="s">
        <v>359</v>
      </c>
      <c r="C3" s="41" t="s">
        <v>360</v>
      </c>
    </row>
    <row r="4" spans="1:3" ht="30" x14ac:dyDescent="0.25">
      <c r="A4" s="41" t="s">
        <v>1</v>
      </c>
      <c r="B4" s="41" t="s">
        <v>359</v>
      </c>
      <c r="C4" s="41" t="s">
        <v>361</v>
      </c>
    </row>
    <row r="5" spans="1:3" x14ac:dyDescent="0.25">
      <c r="A5" s="41" t="s">
        <v>2</v>
      </c>
      <c r="B5" s="41" t="s">
        <v>359</v>
      </c>
      <c r="C5" s="41" t="s">
        <v>362</v>
      </c>
    </row>
    <row r="6" spans="1:3" x14ac:dyDescent="0.25">
      <c r="A6" s="41" t="s">
        <v>363</v>
      </c>
      <c r="B6" s="41" t="s">
        <v>359</v>
      </c>
      <c r="C6" s="41" t="s">
        <v>364</v>
      </c>
    </row>
    <row r="7" spans="1:3" x14ac:dyDescent="0.25">
      <c r="A7" s="41" t="s">
        <v>5</v>
      </c>
      <c r="B7" s="41" t="s">
        <v>359</v>
      </c>
      <c r="C7" s="41" t="s">
        <v>365</v>
      </c>
    </row>
    <row r="8" spans="1:3" x14ac:dyDescent="0.25">
      <c r="A8" s="41" t="s">
        <v>6</v>
      </c>
      <c r="B8" s="41" t="s">
        <v>359</v>
      </c>
      <c r="C8" s="41" t="s">
        <v>366</v>
      </c>
    </row>
    <row r="9" spans="1:3" x14ac:dyDescent="0.25">
      <c r="A9" s="41" t="s">
        <v>7</v>
      </c>
      <c r="B9" s="41" t="s">
        <v>367</v>
      </c>
      <c r="C9" s="41" t="s">
        <v>368</v>
      </c>
    </row>
    <row r="10" spans="1:3" x14ac:dyDescent="0.25">
      <c r="A10" s="41" t="s">
        <v>8</v>
      </c>
      <c r="B10" s="41" t="s">
        <v>367</v>
      </c>
      <c r="C10" s="41" t="s">
        <v>369</v>
      </c>
    </row>
    <row r="11" spans="1:3" x14ac:dyDescent="0.25">
      <c r="A11" s="41" t="s">
        <v>9</v>
      </c>
      <c r="B11" s="41" t="s">
        <v>372</v>
      </c>
      <c r="C11" s="41" t="s">
        <v>370</v>
      </c>
    </row>
    <row r="12" spans="1:3" x14ac:dyDescent="0.25">
      <c r="A12" s="41" t="s">
        <v>10</v>
      </c>
      <c r="B12" s="41" t="s">
        <v>367</v>
      </c>
      <c r="C12" s="41" t="s">
        <v>371</v>
      </c>
    </row>
    <row r="13" spans="1:3" x14ac:dyDescent="0.25">
      <c r="A13" s="41" t="s">
        <v>11</v>
      </c>
      <c r="B13" s="41" t="s">
        <v>372</v>
      </c>
      <c r="C13" s="41" t="s">
        <v>373</v>
      </c>
    </row>
    <row r="14" spans="1:3" x14ac:dyDescent="0.25">
      <c r="A14" s="41" t="s">
        <v>374</v>
      </c>
      <c r="B14" s="41" t="s">
        <v>367</v>
      </c>
      <c r="C14" s="41" t="s">
        <v>375</v>
      </c>
    </row>
    <row r="15" spans="1:3" x14ac:dyDescent="0.25">
      <c r="A15" s="41" t="s">
        <v>14</v>
      </c>
      <c r="B15" s="41" t="s">
        <v>367</v>
      </c>
      <c r="C15" s="41" t="s">
        <v>376</v>
      </c>
    </row>
    <row r="16" spans="1:3" x14ac:dyDescent="0.25">
      <c r="A16" s="41" t="s">
        <v>263</v>
      </c>
      <c r="B16" s="41" t="s">
        <v>372</v>
      </c>
      <c r="C16" s="41" t="s">
        <v>377</v>
      </c>
    </row>
    <row r="17" spans="1:3" x14ac:dyDescent="0.25">
      <c r="A17" s="41" t="s">
        <v>378</v>
      </c>
      <c r="B17" s="41" t="s">
        <v>367</v>
      </c>
      <c r="C17" s="41" t="s">
        <v>379</v>
      </c>
    </row>
    <row r="18" spans="1:3" x14ac:dyDescent="0.25">
      <c r="A18" s="41" t="s">
        <v>380</v>
      </c>
      <c r="B18" s="41" t="s">
        <v>381</v>
      </c>
      <c r="C18" s="41" t="s">
        <v>382</v>
      </c>
    </row>
    <row r="19" spans="1:3" x14ac:dyDescent="0.25">
      <c r="A19" s="41" t="s">
        <v>19</v>
      </c>
      <c r="B19" s="41" t="s">
        <v>367</v>
      </c>
      <c r="C19" s="41" t="s">
        <v>383</v>
      </c>
    </row>
    <row r="20" spans="1:3" x14ac:dyDescent="0.25">
      <c r="A20" s="41" t="s">
        <v>20</v>
      </c>
      <c r="B20" s="41" t="s">
        <v>359</v>
      </c>
      <c r="C20" s="41" t="s">
        <v>384</v>
      </c>
    </row>
    <row r="21" spans="1:3" ht="30" x14ac:dyDescent="0.25">
      <c r="A21" s="41" t="s">
        <v>325</v>
      </c>
      <c r="B21" s="41" t="s">
        <v>385</v>
      </c>
      <c r="C21" s="41" t="s">
        <v>386</v>
      </c>
    </row>
    <row r="22" spans="1:3" ht="30" x14ac:dyDescent="0.25">
      <c r="A22" s="41" t="s">
        <v>321</v>
      </c>
      <c r="B22" s="41" t="s">
        <v>387</v>
      </c>
      <c r="C22" s="41" t="s">
        <v>388</v>
      </c>
    </row>
    <row r="23" spans="1:3" ht="30" x14ac:dyDescent="0.25">
      <c r="A23" s="41" t="s">
        <v>334</v>
      </c>
      <c r="B23" s="41" t="s">
        <v>385</v>
      </c>
      <c r="C23" s="41" t="s">
        <v>389</v>
      </c>
    </row>
    <row r="24" spans="1:3" x14ac:dyDescent="0.25">
      <c r="A24" s="41" t="s">
        <v>21</v>
      </c>
      <c r="B24" s="41" t="s">
        <v>359</v>
      </c>
      <c r="C24" s="41" t="s">
        <v>390</v>
      </c>
    </row>
    <row r="25" spans="1:3" x14ac:dyDescent="0.25">
      <c r="A25" s="41" t="s">
        <v>22</v>
      </c>
      <c r="B25" s="41" t="s">
        <v>359</v>
      </c>
      <c r="C25" s="41" t="s">
        <v>391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B6F9-D07E-482D-9579-7F954D34DFFB}">
  <dimension ref="A2:H114"/>
  <sheetViews>
    <sheetView topLeftCell="A95" workbookViewId="0">
      <selection activeCell="A104" sqref="A104:C114"/>
    </sheetView>
  </sheetViews>
  <sheetFormatPr defaultRowHeight="15" x14ac:dyDescent="0.25"/>
  <cols>
    <col min="1" max="1" width="29" customWidth="1"/>
    <col min="2" max="2" width="12.42578125" bestFit="1" customWidth="1"/>
    <col min="3" max="3" width="10.7109375" bestFit="1" customWidth="1"/>
    <col min="4" max="4" width="11.28515625" bestFit="1" customWidth="1"/>
    <col min="5" max="5" width="7" bestFit="1" customWidth="1"/>
    <col min="6" max="6" width="8.5703125" bestFit="1" customWidth="1"/>
    <col min="7" max="7" width="15" bestFit="1" customWidth="1"/>
    <col min="8" max="8" width="11.42578125" customWidth="1"/>
    <col min="9" max="9" width="14" bestFit="1" customWidth="1"/>
    <col min="10" max="10" width="13.42578125" bestFit="1" customWidth="1"/>
    <col min="11" max="11" width="15.5703125" bestFit="1" customWidth="1"/>
    <col min="12" max="12" width="18.42578125" bestFit="1" customWidth="1"/>
    <col min="13" max="17" width="11.28515625" bestFit="1" customWidth="1"/>
    <col min="18" max="35" width="6" bestFit="1" customWidth="1"/>
    <col min="36" max="36" width="7" bestFit="1" customWidth="1"/>
    <col min="37" max="40" width="6" bestFit="1" customWidth="1"/>
    <col min="41" max="41" width="7" bestFit="1" customWidth="1"/>
    <col min="42" max="44" width="6" bestFit="1" customWidth="1"/>
    <col min="45" max="45" width="26" bestFit="1" customWidth="1"/>
    <col min="46" max="87" width="6" bestFit="1" customWidth="1"/>
    <col min="88" max="88" width="21" bestFit="1" customWidth="1"/>
    <col min="89" max="130" width="6" bestFit="1" customWidth="1"/>
    <col min="131" max="131" width="21.5703125" bestFit="1" customWidth="1"/>
    <col min="132" max="136" width="12" bestFit="1" customWidth="1"/>
    <col min="137" max="137" width="6" bestFit="1" customWidth="1"/>
    <col min="138" max="141" width="12" bestFit="1" customWidth="1"/>
    <col min="142" max="142" width="10" bestFit="1" customWidth="1"/>
    <col min="143" max="155" width="12" bestFit="1" customWidth="1"/>
    <col min="156" max="157" width="11" bestFit="1" customWidth="1"/>
    <col min="158" max="158" width="12" bestFit="1" customWidth="1"/>
    <col min="159" max="159" width="11" bestFit="1" customWidth="1"/>
    <col min="160" max="167" width="12" bestFit="1" customWidth="1"/>
    <col min="168" max="168" width="11" bestFit="1" customWidth="1"/>
    <col min="169" max="171" width="12" bestFit="1" customWidth="1"/>
    <col min="172" max="172" width="6" bestFit="1" customWidth="1"/>
    <col min="173" max="173" width="12" bestFit="1" customWidth="1"/>
    <col min="174" max="174" width="30.42578125" bestFit="1" customWidth="1"/>
    <col min="175" max="175" width="31" bestFit="1" customWidth="1"/>
    <col min="176" max="176" width="26.140625" bestFit="1" customWidth="1"/>
    <col min="177" max="177" width="26.5703125" bestFit="1" customWidth="1"/>
  </cols>
  <sheetData>
    <row r="2" spans="1:6" x14ac:dyDescent="0.25">
      <c r="A2" s="82" t="s">
        <v>322</v>
      </c>
      <c r="B2" s="82"/>
      <c r="C2" s="82"/>
      <c r="D2" s="82"/>
      <c r="E2" s="82"/>
      <c r="F2" s="82"/>
    </row>
    <row r="3" spans="1:6" x14ac:dyDescent="0.25">
      <c r="A3" s="6" t="s">
        <v>1</v>
      </c>
      <c r="B3" s="6" t="s">
        <v>2</v>
      </c>
      <c r="C3" s="6" t="s">
        <v>248</v>
      </c>
      <c r="D3" t="s">
        <v>324</v>
      </c>
      <c r="E3" t="s">
        <v>261</v>
      </c>
      <c r="F3" t="s">
        <v>262</v>
      </c>
    </row>
    <row r="4" spans="1:6" x14ac:dyDescent="0.25">
      <c r="A4" t="s">
        <v>40</v>
      </c>
      <c r="B4" t="s">
        <v>25</v>
      </c>
      <c r="C4" t="s">
        <v>249</v>
      </c>
      <c r="D4" s="3">
        <v>90.89717865070709</v>
      </c>
      <c r="E4" s="3">
        <v>90.090090090090087</v>
      </c>
      <c r="F4" s="3">
        <v>91.431857389304199</v>
      </c>
    </row>
    <row r="5" spans="1:6" x14ac:dyDescent="0.25">
      <c r="C5" t="s">
        <v>250</v>
      </c>
      <c r="D5" s="3">
        <v>91.316293679406101</v>
      </c>
      <c r="E5" s="3">
        <v>90.671316477768087</v>
      </c>
      <c r="F5" s="3">
        <v>91.947617720813597</v>
      </c>
    </row>
    <row r="6" spans="1:6" x14ac:dyDescent="0.25">
      <c r="B6" t="s">
        <v>252</v>
      </c>
      <c r="D6" s="3">
        <v>91.064824662186723</v>
      </c>
      <c r="E6" s="3">
        <v>90.090090090090087</v>
      </c>
      <c r="F6" s="3">
        <v>91.947617720813597</v>
      </c>
    </row>
    <row r="7" spans="1:6" x14ac:dyDescent="0.25">
      <c r="A7" t="s">
        <v>253</v>
      </c>
      <c r="D7" s="3">
        <v>91.064824662186723</v>
      </c>
      <c r="E7" s="3">
        <v>90.090090090090087</v>
      </c>
      <c r="F7" s="3">
        <v>91.947617720813597</v>
      </c>
    </row>
    <row r="8" spans="1:6" x14ac:dyDescent="0.25">
      <c r="A8" t="s">
        <v>85</v>
      </c>
      <c r="B8" t="s">
        <v>25</v>
      </c>
      <c r="C8" t="s">
        <v>249</v>
      </c>
      <c r="D8" s="3">
        <v>91.505793123824773</v>
      </c>
      <c r="E8" s="3">
        <v>91.114883984153934</v>
      </c>
      <c r="F8" s="3">
        <v>91.966759002770075</v>
      </c>
    </row>
    <row r="9" spans="1:6" x14ac:dyDescent="0.25">
      <c r="C9" t="s">
        <v>250</v>
      </c>
      <c r="D9" s="3">
        <v>91.645875580563228</v>
      </c>
      <c r="E9" s="3">
        <v>90.803932909196078</v>
      </c>
      <c r="F9" s="3">
        <v>91.966759002770075</v>
      </c>
    </row>
    <row r="10" spans="1:6" x14ac:dyDescent="0.25">
      <c r="B10" t="s">
        <v>252</v>
      </c>
      <c r="D10" s="3">
        <v>91.56477521087254</v>
      </c>
      <c r="E10" s="3">
        <v>90.803932909196078</v>
      </c>
      <c r="F10" s="3">
        <v>91.966759002770075</v>
      </c>
    </row>
    <row r="11" spans="1:6" x14ac:dyDescent="0.25">
      <c r="A11" t="s">
        <v>254</v>
      </c>
      <c r="D11" s="3">
        <v>91.56477521087254</v>
      </c>
      <c r="E11" s="3">
        <v>90.803932909196078</v>
      </c>
      <c r="F11" s="3">
        <v>91.966759002770075</v>
      </c>
    </row>
    <row r="12" spans="1:6" x14ac:dyDescent="0.25">
      <c r="A12" t="s">
        <v>24</v>
      </c>
      <c r="B12" t="s">
        <v>25</v>
      </c>
      <c r="C12" t="s">
        <v>249</v>
      </c>
      <c r="D12" s="3">
        <v>91.703676181768557</v>
      </c>
      <c r="E12" s="3">
        <v>91.387559808612437</v>
      </c>
      <c r="F12" s="3">
        <v>92.329545454545453</v>
      </c>
    </row>
    <row r="13" spans="1:6" x14ac:dyDescent="0.25">
      <c r="C13" t="s">
        <v>250</v>
      </c>
      <c r="D13" s="3">
        <v>91.861071168007058</v>
      </c>
      <c r="E13" s="3">
        <v>91.392649903288202</v>
      </c>
      <c r="F13" s="3">
        <v>92.329545454545453</v>
      </c>
    </row>
    <row r="14" spans="1:6" x14ac:dyDescent="0.25">
      <c r="B14" t="s">
        <v>252</v>
      </c>
      <c r="D14" s="3">
        <v>91.766634176263935</v>
      </c>
      <c r="E14" s="3">
        <v>91.387559808612437</v>
      </c>
      <c r="F14" s="3">
        <v>92.329545454545453</v>
      </c>
    </row>
    <row r="15" spans="1:6" x14ac:dyDescent="0.25">
      <c r="A15" t="s">
        <v>255</v>
      </c>
      <c r="D15" s="3">
        <v>91.766634176263935</v>
      </c>
      <c r="E15" s="3">
        <v>91.387559808612437</v>
      </c>
      <c r="F15" s="3">
        <v>92.329545454545453</v>
      </c>
    </row>
    <row r="16" spans="1:6" x14ac:dyDescent="0.25">
      <c r="A16" t="s">
        <v>50</v>
      </c>
      <c r="B16" t="s">
        <v>51</v>
      </c>
      <c r="C16" t="s">
        <v>249</v>
      </c>
      <c r="D16" s="3">
        <v>90.458960260452145</v>
      </c>
      <c r="E16" s="3">
        <v>89.605734767025098</v>
      </c>
      <c r="F16" s="3">
        <v>90.972222222222214</v>
      </c>
    </row>
    <row r="17" spans="1:6" x14ac:dyDescent="0.25">
      <c r="C17" t="s">
        <v>250</v>
      </c>
      <c r="D17" s="3">
        <v>90.573044916755961</v>
      </c>
      <c r="E17" s="3">
        <v>89.964157706093189</v>
      </c>
      <c r="F17" s="3">
        <v>90.972222222222214</v>
      </c>
    </row>
    <row r="18" spans="1:6" x14ac:dyDescent="0.25">
      <c r="B18" t="s">
        <v>256</v>
      </c>
      <c r="D18" s="3">
        <v>90.504594122973671</v>
      </c>
      <c r="E18" s="3">
        <v>89.605734767025098</v>
      </c>
      <c r="F18" s="3">
        <v>90.972222222222214</v>
      </c>
    </row>
    <row r="19" spans="1:6" x14ac:dyDescent="0.25">
      <c r="A19" t="s">
        <v>257</v>
      </c>
      <c r="D19" s="3">
        <v>90.504594122973671</v>
      </c>
      <c r="E19" s="3">
        <v>89.605734767025098</v>
      </c>
      <c r="F19" s="3">
        <v>90.972222222222214</v>
      </c>
    </row>
    <row r="20" spans="1:6" x14ac:dyDescent="0.25">
      <c r="A20" t="s">
        <v>62</v>
      </c>
      <c r="B20" t="s">
        <v>25</v>
      </c>
      <c r="C20" t="s">
        <v>249</v>
      </c>
      <c r="D20" s="3">
        <v>91.744959551991386</v>
      </c>
      <c r="E20" s="3">
        <v>91.182795698924735</v>
      </c>
      <c r="F20" s="3">
        <v>92.083333333333329</v>
      </c>
    </row>
    <row r="21" spans="1:6" x14ac:dyDescent="0.25">
      <c r="C21" t="s">
        <v>250</v>
      </c>
      <c r="D21" s="3">
        <v>91.674487350841062</v>
      </c>
      <c r="E21" s="3">
        <v>90.752688172043008</v>
      </c>
      <c r="F21" s="3">
        <v>92.083333333333329</v>
      </c>
    </row>
    <row r="22" spans="1:6" x14ac:dyDescent="0.25">
      <c r="B22" t="s">
        <v>252</v>
      </c>
      <c r="D22" s="3">
        <v>91.718996109462324</v>
      </c>
      <c r="E22" s="3">
        <v>90.752688172043008</v>
      </c>
      <c r="F22" s="3">
        <v>92.083333333333329</v>
      </c>
    </row>
    <row r="23" spans="1:6" x14ac:dyDescent="0.25">
      <c r="A23" t="s">
        <v>258</v>
      </c>
      <c r="D23" s="3">
        <v>91.718996109462324</v>
      </c>
      <c r="E23" s="3">
        <v>90.752688172043008</v>
      </c>
      <c r="F23" s="3">
        <v>92.083333333333329</v>
      </c>
    </row>
    <row r="24" spans="1:6" x14ac:dyDescent="0.25">
      <c r="A24" t="s">
        <v>73</v>
      </c>
      <c r="B24" t="s">
        <v>74</v>
      </c>
      <c r="C24" t="s">
        <v>249</v>
      </c>
      <c r="D24" s="3">
        <v>91.861123290553977</v>
      </c>
      <c r="E24" s="3">
        <v>91.312056737588648</v>
      </c>
      <c r="F24" s="3">
        <v>92.10526315789474</v>
      </c>
    </row>
    <row r="25" spans="1:6" x14ac:dyDescent="0.25">
      <c r="C25" t="s">
        <v>250</v>
      </c>
      <c r="D25" s="3">
        <v>91.860350033644693</v>
      </c>
      <c r="E25" s="3">
        <v>91.397849462365585</v>
      </c>
      <c r="F25" s="3">
        <v>92.10526315789474</v>
      </c>
    </row>
    <row r="26" spans="1:6" x14ac:dyDescent="0.25">
      <c r="B26" t="s">
        <v>259</v>
      </c>
      <c r="D26" s="3">
        <v>91.860813987790294</v>
      </c>
      <c r="E26" s="3">
        <v>91.312056737588648</v>
      </c>
      <c r="F26" s="3">
        <v>92.10526315789474</v>
      </c>
    </row>
    <row r="27" spans="1:6" x14ac:dyDescent="0.25">
      <c r="A27" t="s">
        <v>260</v>
      </c>
      <c r="D27" s="3">
        <v>91.860813987790294</v>
      </c>
      <c r="E27" s="3">
        <v>91.312056737588648</v>
      </c>
      <c r="F27" s="3">
        <v>92.10526315789474</v>
      </c>
    </row>
    <row r="28" spans="1:6" x14ac:dyDescent="0.25">
      <c r="A28" t="s">
        <v>246</v>
      </c>
      <c r="D28" s="3">
        <v>91.409567746361489</v>
      </c>
      <c r="E28" s="3">
        <v>89.605734767025098</v>
      </c>
      <c r="F28" s="3">
        <v>92.329545454545453</v>
      </c>
    </row>
    <row r="30" spans="1:6" x14ac:dyDescent="0.25">
      <c r="A30" s="82" t="s">
        <v>331</v>
      </c>
      <c r="B30" s="82"/>
      <c r="C30" s="82"/>
      <c r="D30" s="82"/>
      <c r="E30" s="82"/>
      <c r="F30" s="82"/>
    </row>
    <row r="31" spans="1:6" x14ac:dyDescent="0.25">
      <c r="A31" s="6" t="s">
        <v>1</v>
      </c>
      <c r="B31" s="6" t="s">
        <v>2</v>
      </c>
      <c r="C31" s="6" t="s">
        <v>248</v>
      </c>
      <c r="D31" t="s">
        <v>323</v>
      </c>
      <c r="E31" t="s">
        <v>261</v>
      </c>
      <c r="F31" t="s">
        <v>327</v>
      </c>
    </row>
    <row r="32" spans="1:6" x14ac:dyDescent="0.25">
      <c r="A32" t="s">
        <v>40</v>
      </c>
      <c r="B32" t="s">
        <v>25</v>
      </c>
      <c r="C32" t="s">
        <v>249</v>
      </c>
      <c r="D32" s="3">
        <v>94.25</v>
      </c>
      <c r="E32" s="3">
        <v>91</v>
      </c>
      <c r="F32" s="3">
        <v>97</v>
      </c>
    </row>
    <row r="33" spans="1:6" x14ac:dyDescent="0.25">
      <c r="C33" t="s">
        <v>250</v>
      </c>
      <c r="D33" s="3">
        <v>95</v>
      </c>
      <c r="E33" s="3">
        <v>93</v>
      </c>
      <c r="F33" s="3">
        <v>97</v>
      </c>
    </row>
    <row r="34" spans="1:6" x14ac:dyDescent="0.25">
      <c r="B34" t="s">
        <v>252</v>
      </c>
      <c r="D34" s="3">
        <v>94.55</v>
      </c>
      <c r="E34" s="3">
        <v>91</v>
      </c>
      <c r="F34" s="3">
        <v>97</v>
      </c>
    </row>
    <row r="35" spans="1:6" x14ac:dyDescent="0.25">
      <c r="A35" t="s">
        <v>253</v>
      </c>
      <c r="D35" s="3">
        <v>94.55</v>
      </c>
      <c r="E35" s="3">
        <v>91</v>
      </c>
      <c r="F35" s="3">
        <v>97</v>
      </c>
    </row>
    <row r="36" spans="1:6" x14ac:dyDescent="0.25">
      <c r="A36" t="s">
        <v>85</v>
      </c>
      <c r="B36" t="s">
        <v>25</v>
      </c>
      <c r="C36" t="s">
        <v>249</v>
      </c>
      <c r="D36" s="3">
        <v>94.272727272727266</v>
      </c>
      <c r="E36" s="3">
        <v>91</v>
      </c>
      <c r="F36" s="3">
        <v>97</v>
      </c>
    </row>
    <row r="37" spans="1:6" x14ac:dyDescent="0.25">
      <c r="C37" t="s">
        <v>250</v>
      </c>
      <c r="D37" s="3">
        <v>94.25</v>
      </c>
      <c r="E37" s="3">
        <v>91</v>
      </c>
      <c r="F37" s="3">
        <v>97</v>
      </c>
    </row>
    <row r="38" spans="1:6" x14ac:dyDescent="0.25">
      <c r="B38" t="s">
        <v>252</v>
      </c>
      <c r="D38" s="3">
        <v>94.263157894736835</v>
      </c>
      <c r="E38" s="3">
        <v>91</v>
      </c>
      <c r="F38" s="3">
        <v>97</v>
      </c>
    </row>
    <row r="39" spans="1:6" x14ac:dyDescent="0.25">
      <c r="A39" t="s">
        <v>254</v>
      </c>
      <c r="D39" s="3">
        <v>94.263157894736835</v>
      </c>
      <c r="E39" s="3">
        <v>91</v>
      </c>
      <c r="F39" s="3">
        <v>97</v>
      </c>
    </row>
    <row r="40" spans="1:6" x14ac:dyDescent="0.25">
      <c r="A40" t="s">
        <v>24</v>
      </c>
      <c r="B40" t="s">
        <v>25</v>
      </c>
      <c r="C40" t="s">
        <v>249</v>
      </c>
      <c r="D40" s="3">
        <v>95.083333333333329</v>
      </c>
      <c r="E40" s="3">
        <v>93</v>
      </c>
      <c r="F40" s="3">
        <v>96</v>
      </c>
    </row>
    <row r="41" spans="1:6" x14ac:dyDescent="0.25">
      <c r="C41" t="s">
        <v>250</v>
      </c>
      <c r="D41" s="3">
        <v>95.25</v>
      </c>
      <c r="E41" s="3">
        <v>94</v>
      </c>
      <c r="F41" s="3">
        <v>96</v>
      </c>
    </row>
    <row r="42" spans="1:6" x14ac:dyDescent="0.25">
      <c r="B42" t="s">
        <v>252</v>
      </c>
      <c r="D42" s="3">
        <v>95.15</v>
      </c>
      <c r="E42" s="3">
        <v>93</v>
      </c>
      <c r="F42" s="3">
        <v>96</v>
      </c>
    </row>
    <row r="43" spans="1:6" x14ac:dyDescent="0.25">
      <c r="A43" t="s">
        <v>255</v>
      </c>
      <c r="D43" s="3">
        <v>95.15</v>
      </c>
      <c r="E43" s="3">
        <v>93</v>
      </c>
      <c r="F43" s="3">
        <v>96</v>
      </c>
    </row>
    <row r="44" spans="1:6" x14ac:dyDescent="0.25">
      <c r="A44" t="s">
        <v>50</v>
      </c>
      <c r="B44" t="s">
        <v>51</v>
      </c>
      <c r="C44" t="s">
        <v>249</v>
      </c>
      <c r="D44" s="3">
        <v>94.25</v>
      </c>
      <c r="E44" s="3">
        <v>92</v>
      </c>
      <c r="F44" s="3">
        <v>96</v>
      </c>
    </row>
    <row r="45" spans="1:6" x14ac:dyDescent="0.25">
      <c r="C45" t="s">
        <v>250</v>
      </c>
      <c r="D45" s="3">
        <v>94.625</v>
      </c>
      <c r="E45" s="3">
        <v>93</v>
      </c>
      <c r="F45" s="3">
        <v>96</v>
      </c>
    </row>
    <row r="46" spans="1:6" x14ac:dyDescent="0.25">
      <c r="B46" t="s">
        <v>256</v>
      </c>
      <c r="D46" s="3">
        <v>94.4</v>
      </c>
      <c r="E46" s="3">
        <v>92</v>
      </c>
      <c r="F46" s="3">
        <v>96</v>
      </c>
    </row>
    <row r="47" spans="1:6" x14ac:dyDescent="0.25">
      <c r="A47" t="s">
        <v>257</v>
      </c>
      <c r="D47" s="3">
        <v>94.4</v>
      </c>
      <c r="E47" s="3">
        <v>92</v>
      </c>
      <c r="F47" s="3">
        <v>96</v>
      </c>
    </row>
    <row r="48" spans="1:6" x14ac:dyDescent="0.25">
      <c r="A48" t="s">
        <v>62</v>
      </c>
      <c r="B48" t="s">
        <v>25</v>
      </c>
      <c r="C48" t="s">
        <v>249</v>
      </c>
      <c r="D48" s="3">
        <v>94.5</v>
      </c>
      <c r="E48" s="3">
        <v>93</v>
      </c>
      <c r="F48" s="3">
        <v>96</v>
      </c>
    </row>
    <row r="49" spans="1:8" x14ac:dyDescent="0.25">
      <c r="C49" t="s">
        <v>250</v>
      </c>
      <c r="D49" s="3">
        <v>94.428571428571431</v>
      </c>
      <c r="E49" s="3">
        <v>93</v>
      </c>
      <c r="F49" s="3">
        <v>96</v>
      </c>
    </row>
    <row r="50" spans="1:8" x14ac:dyDescent="0.25">
      <c r="B50" t="s">
        <v>252</v>
      </c>
      <c r="D50" s="3">
        <v>94.473684210526315</v>
      </c>
      <c r="E50" s="3">
        <v>93</v>
      </c>
      <c r="F50" s="3">
        <v>96</v>
      </c>
    </row>
    <row r="51" spans="1:8" x14ac:dyDescent="0.25">
      <c r="A51" t="s">
        <v>258</v>
      </c>
      <c r="D51" s="3">
        <v>94.473684210526315</v>
      </c>
      <c r="E51" s="3">
        <v>93</v>
      </c>
      <c r="F51" s="3">
        <v>96</v>
      </c>
    </row>
    <row r="52" spans="1:8" x14ac:dyDescent="0.25">
      <c r="A52" t="s">
        <v>73</v>
      </c>
      <c r="B52" t="s">
        <v>74</v>
      </c>
      <c r="C52" t="s">
        <v>249</v>
      </c>
      <c r="D52" s="3">
        <v>95.25</v>
      </c>
      <c r="E52" s="3">
        <v>93</v>
      </c>
      <c r="F52" s="3">
        <v>97</v>
      </c>
    </row>
    <row r="53" spans="1:8" x14ac:dyDescent="0.25">
      <c r="C53" t="s">
        <v>250</v>
      </c>
      <c r="D53" s="3">
        <v>95.25</v>
      </c>
      <c r="E53" s="3">
        <v>93</v>
      </c>
      <c r="F53" s="3">
        <v>97</v>
      </c>
    </row>
    <row r="54" spans="1:8" x14ac:dyDescent="0.25">
      <c r="B54" t="s">
        <v>259</v>
      </c>
      <c r="D54" s="3">
        <v>95.25</v>
      </c>
      <c r="E54" s="3">
        <v>93</v>
      </c>
      <c r="F54" s="3">
        <v>97</v>
      </c>
    </row>
    <row r="55" spans="1:8" x14ac:dyDescent="0.25">
      <c r="A55" t="s">
        <v>260</v>
      </c>
      <c r="D55" s="3">
        <v>95.25</v>
      </c>
      <c r="E55" s="3">
        <v>93</v>
      </c>
      <c r="F55" s="3">
        <v>97</v>
      </c>
    </row>
    <row r="56" spans="1:8" x14ac:dyDescent="0.25">
      <c r="A56" t="s">
        <v>246</v>
      </c>
      <c r="D56" s="3">
        <v>94.686440677966104</v>
      </c>
      <c r="E56" s="3">
        <v>91</v>
      </c>
      <c r="F56" s="3">
        <v>97</v>
      </c>
    </row>
    <row r="58" spans="1:8" x14ac:dyDescent="0.25">
      <c r="A58" s="83" t="s">
        <v>332</v>
      </c>
      <c r="B58" s="83"/>
      <c r="C58" s="83"/>
      <c r="D58" s="83"/>
      <c r="E58" s="83"/>
      <c r="F58" s="83"/>
      <c r="G58" s="83"/>
      <c r="H58" s="83"/>
    </row>
    <row r="59" spans="1:8" ht="45" x14ac:dyDescent="0.25">
      <c r="A59" s="6" t="s">
        <v>1</v>
      </c>
      <c r="B59" s="6" t="s">
        <v>330</v>
      </c>
      <c r="C59" t="s">
        <v>328</v>
      </c>
      <c r="D59" t="s">
        <v>329</v>
      </c>
      <c r="E59" t="s">
        <v>264</v>
      </c>
      <c r="F59" s="33" t="s">
        <v>272</v>
      </c>
      <c r="G59" t="s">
        <v>292</v>
      </c>
      <c r="H59" t="s">
        <v>280</v>
      </c>
    </row>
    <row r="60" spans="1:8" x14ac:dyDescent="0.25">
      <c r="A60" t="s">
        <v>40</v>
      </c>
      <c r="C60">
        <v>310600</v>
      </c>
      <c r="D60">
        <v>6031</v>
      </c>
      <c r="E60">
        <v>1969</v>
      </c>
      <c r="F60">
        <v>318600</v>
      </c>
      <c r="G60" s="3">
        <v>0.61818881778363266</v>
      </c>
      <c r="H60">
        <v>20</v>
      </c>
    </row>
    <row r="61" spans="1:8" x14ac:dyDescent="0.25">
      <c r="B61" t="s">
        <v>25</v>
      </c>
      <c r="C61">
        <v>310600</v>
      </c>
      <c r="D61">
        <v>6031</v>
      </c>
      <c r="E61">
        <v>1969</v>
      </c>
      <c r="F61">
        <v>318600</v>
      </c>
      <c r="G61" s="3">
        <v>0.61818881778363266</v>
      </c>
      <c r="H61">
        <v>20</v>
      </c>
    </row>
    <row r="62" spans="1:8" x14ac:dyDescent="0.25">
      <c r="A62" t="s">
        <v>85</v>
      </c>
      <c r="C62">
        <v>304000</v>
      </c>
      <c r="D62">
        <v>5519</v>
      </c>
      <c r="E62">
        <v>2081</v>
      </c>
      <c r="F62">
        <v>311600</v>
      </c>
      <c r="G62" s="3">
        <v>0.6673273930595186</v>
      </c>
      <c r="H62">
        <v>19</v>
      </c>
    </row>
    <row r="63" spans="1:8" x14ac:dyDescent="0.25">
      <c r="B63" t="s">
        <v>25</v>
      </c>
      <c r="C63">
        <v>304000</v>
      </c>
      <c r="D63">
        <v>5519</v>
      </c>
      <c r="E63">
        <v>2081</v>
      </c>
      <c r="F63">
        <v>311600</v>
      </c>
      <c r="G63" s="3">
        <v>0.6673273930595186</v>
      </c>
      <c r="H63">
        <v>19</v>
      </c>
    </row>
    <row r="64" spans="1:8" x14ac:dyDescent="0.25">
      <c r="A64" t="s">
        <v>24</v>
      </c>
      <c r="C64">
        <v>376200</v>
      </c>
      <c r="D64">
        <v>6047</v>
      </c>
      <c r="E64">
        <v>1953</v>
      </c>
      <c r="F64">
        <v>384200</v>
      </c>
      <c r="G64" s="3">
        <v>0.5078682593935715</v>
      </c>
      <c r="H64">
        <v>20</v>
      </c>
    </row>
    <row r="65" spans="1:8" x14ac:dyDescent="0.25">
      <c r="B65" t="s">
        <v>25</v>
      </c>
      <c r="C65">
        <v>376200</v>
      </c>
      <c r="D65">
        <v>6047</v>
      </c>
      <c r="E65">
        <v>1953</v>
      </c>
      <c r="F65">
        <v>384200</v>
      </c>
      <c r="G65" s="3">
        <v>0.5078682593935715</v>
      </c>
      <c r="H65">
        <v>20</v>
      </c>
    </row>
    <row r="66" spans="1:8" x14ac:dyDescent="0.25">
      <c r="A66" t="s">
        <v>50</v>
      </c>
      <c r="C66">
        <v>252320</v>
      </c>
      <c r="D66">
        <v>3405</v>
      </c>
      <c r="E66">
        <v>595</v>
      </c>
      <c r="F66">
        <v>256320</v>
      </c>
      <c r="G66" s="3">
        <v>0.23159493494228983</v>
      </c>
      <c r="H66">
        <v>20</v>
      </c>
    </row>
    <row r="67" spans="1:8" x14ac:dyDescent="0.25">
      <c r="B67" t="s">
        <v>51</v>
      </c>
      <c r="C67">
        <v>252320</v>
      </c>
      <c r="D67">
        <v>3405</v>
      </c>
      <c r="E67">
        <v>595</v>
      </c>
      <c r="F67">
        <v>256320</v>
      </c>
      <c r="G67" s="3">
        <v>0.23159493494228983</v>
      </c>
      <c r="H67">
        <v>20</v>
      </c>
    </row>
    <row r="68" spans="1:8" x14ac:dyDescent="0.25">
      <c r="A68" t="s">
        <v>62</v>
      </c>
      <c r="C68">
        <v>402100</v>
      </c>
      <c r="D68">
        <v>7079</v>
      </c>
      <c r="E68">
        <v>2421</v>
      </c>
      <c r="F68">
        <v>411600</v>
      </c>
      <c r="G68" s="3">
        <v>0.58776793349230461</v>
      </c>
      <c r="H68">
        <v>19</v>
      </c>
    </row>
    <row r="69" spans="1:8" x14ac:dyDescent="0.25">
      <c r="B69" t="s">
        <v>25</v>
      </c>
      <c r="C69">
        <v>402100</v>
      </c>
      <c r="D69">
        <v>7079</v>
      </c>
      <c r="E69">
        <v>2421</v>
      </c>
      <c r="F69">
        <v>411600</v>
      </c>
      <c r="G69" s="3">
        <v>0.58776793349230461</v>
      </c>
      <c r="H69">
        <v>19</v>
      </c>
    </row>
    <row r="70" spans="1:8" x14ac:dyDescent="0.25">
      <c r="A70" t="s">
        <v>73</v>
      </c>
      <c r="C70">
        <v>206000</v>
      </c>
      <c r="D70">
        <v>3157</v>
      </c>
      <c r="E70">
        <v>843</v>
      </c>
      <c r="F70">
        <v>210000</v>
      </c>
      <c r="G70" s="3">
        <v>0.40085291960386338</v>
      </c>
      <c r="H70">
        <v>20</v>
      </c>
    </row>
    <row r="71" spans="1:8" x14ac:dyDescent="0.25">
      <c r="B71" t="s">
        <v>74</v>
      </c>
      <c r="C71">
        <v>206000</v>
      </c>
      <c r="D71">
        <v>3157</v>
      </c>
      <c r="E71">
        <v>843</v>
      </c>
      <c r="F71">
        <v>210000</v>
      </c>
      <c r="G71" s="3">
        <v>0.40085291960386338</v>
      </c>
      <c r="H71">
        <v>20</v>
      </c>
    </row>
    <row r="72" spans="1:8" x14ac:dyDescent="0.25">
      <c r="A72" t="s">
        <v>246</v>
      </c>
      <c r="C72">
        <v>1851220</v>
      </c>
      <c r="D72">
        <v>31238</v>
      </c>
      <c r="E72">
        <v>9862</v>
      </c>
      <c r="F72">
        <v>1892320</v>
      </c>
      <c r="G72" s="3">
        <v>0.50014330371993043</v>
      </c>
      <c r="H72">
        <v>118</v>
      </c>
    </row>
    <row r="74" spans="1:8" x14ac:dyDescent="0.25">
      <c r="A74" s="83" t="s">
        <v>333</v>
      </c>
      <c r="B74" s="83"/>
      <c r="C74" s="83"/>
      <c r="D74" s="83"/>
      <c r="E74" s="83"/>
      <c r="F74" s="83"/>
      <c r="G74" s="83"/>
      <c r="H74" s="83"/>
    </row>
    <row r="75" spans="1:8" x14ac:dyDescent="0.25">
      <c r="A75" s="6" t="s">
        <v>245</v>
      </c>
      <c r="B75" s="33" t="s">
        <v>273</v>
      </c>
      <c r="C75" t="s">
        <v>272</v>
      </c>
      <c r="D75" t="s">
        <v>270</v>
      </c>
      <c r="E75" t="s">
        <v>285</v>
      </c>
      <c r="F75" t="s">
        <v>271</v>
      </c>
      <c r="G75" t="s">
        <v>288</v>
      </c>
      <c r="H75" t="s">
        <v>326</v>
      </c>
    </row>
    <row r="76" spans="1:8" x14ac:dyDescent="0.25">
      <c r="A76" s="7" t="s">
        <v>265</v>
      </c>
      <c r="B76">
        <v>446000</v>
      </c>
      <c r="C76">
        <v>386950</v>
      </c>
      <c r="D76" s="3">
        <v>91.470139462633185</v>
      </c>
      <c r="E76">
        <v>378550</v>
      </c>
      <c r="F76">
        <v>214</v>
      </c>
      <c r="G76" s="3">
        <v>94.833333333333329</v>
      </c>
      <c r="H76">
        <v>1</v>
      </c>
    </row>
    <row r="77" spans="1:8" x14ac:dyDescent="0.25">
      <c r="A77" s="8" t="s">
        <v>244</v>
      </c>
      <c r="B77">
        <v>18500</v>
      </c>
      <c r="C77">
        <v>15600</v>
      </c>
      <c r="D77" s="3">
        <v>90.671316477768087</v>
      </c>
      <c r="E77">
        <v>15200</v>
      </c>
      <c r="F77">
        <v>13</v>
      </c>
      <c r="G77" s="3">
        <v>93</v>
      </c>
      <c r="H77">
        <v>1</v>
      </c>
    </row>
    <row r="78" spans="1:8" x14ac:dyDescent="0.25">
      <c r="A78" s="8" t="s">
        <v>37</v>
      </c>
      <c r="B78">
        <v>427500</v>
      </c>
      <c r="C78">
        <v>371350</v>
      </c>
      <c r="D78" s="3">
        <v>91.504870896757751</v>
      </c>
      <c r="E78">
        <v>363350</v>
      </c>
      <c r="F78">
        <v>201</v>
      </c>
      <c r="G78" s="3">
        <v>94.913043478260875</v>
      </c>
      <c r="H78">
        <v>0</v>
      </c>
    </row>
    <row r="79" spans="1:8" x14ac:dyDescent="0.25">
      <c r="A79" s="7" t="s">
        <v>266</v>
      </c>
      <c r="B79">
        <v>446000</v>
      </c>
      <c r="C79">
        <v>382050</v>
      </c>
      <c r="D79" s="3">
        <v>91.179665409379609</v>
      </c>
      <c r="E79">
        <v>373650</v>
      </c>
      <c r="F79">
        <v>256</v>
      </c>
      <c r="G79" s="3">
        <v>93.916666666666671</v>
      </c>
      <c r="H79">
        <v>1</v>
      </c>
    </row>
    <row r="80" spans="1:8" x14ac:dyDescent="0.25">
      <c r="A80" s="8" t="s">
        <v>244</v>
      </c>
      <c r="B80">
        <v>18500</v>
      </c>
      <c r="C80">
        <v>15200</v>
      </c>
      <c r="D80" s="3">
        <v>90.288090288090288</v>
      </c>
      <c r="E80">
        <v>14800</v>
      </c>
      <c r="F80">
        <v>22</v>
      </c>
      <c r="G80" s="3">
        <v>91</v>
      </c>
      <c r="H80">
        <v>1</v>
      </c>
    </row>
    <row r="81" spans="1:8" x14ac:dyDescent="0.25">
      <c r="A81" s="8" t="s">
        <v>37</v>
      </c>
      <c r="B81">
        <v>427500</v>
      </c>
      <c r="C81">
        <v>366850</v>
      </c>
      <c r="D81" s="3">
        <v>91.218429545087844</v>
      </c>
      <c r="E81">
        <v>358850</v>
      </c>
      <c r="F81">
        <v>234</v>
      </c>
      <c r="G81" s="3">
        <v>94.043478260869563</v>
      </c>
      <c r="H81">
        <v>0</v>
      </c>
    </row>
    <row r="82" spans="1:8" x14ac:dyDescent="0.25">
      <c r="A82" s="7" t="s">
        <v>267</v>
      </c>
      <c r="B82">
        <v>427000</v>
      </c>
      <c r="C82">
        <v>371270</v>
      </c>
      <c r="D82" s="3">
        <v>91.433007941714891</v>
      </c>
      <c r="E82">
        <v>363270</v>
      </c>
      <c r="F82">
        <v>200</v>
      </c>
      <c r="G82" s="3">
        <v>95.086956521739125</v>
      </c>
      <c r="H82">
        <v>0</v>
      </c>
    </row>
    <row r="83" spans="1:8" x14ac:dyDescent="0.25">
      <c r="A83" s="8" t="s">
        <v>37</v>
      </c>
      <c r="B83">
        <v>427000</v>
      </c>
      <c r="C83">
        <v>371270</v>
      </c>
      <c r="D83" s="3">
        <v>91.433007941714891</v>
      </c>
      <c r="E83">
        <v>363270</v>
      </c>
      <c r="F83">
        <v>200</v>
      </c>
      <c r="G83" s="3">
        <v>95.086956521739125</v>
      </c>
      <c r="H83">
        <v>0</v>
      </c>
    </row>
    <row r="84" spans="1:8" x14ac:dyDescent="0.25">
      <c r="A84" s="7" t="s">
        <v>268</v>
      </c>
      <c r="B84">
        <v>446000</v>
      </c>
      <c r="C84">
        <v>386550</v>
      </c>
      <c r="D84" s="3">
        <v>91.460517808886834</v>
      </c>
      <c r="E84">
        <v>378150</v>
      </c>
      <c r="F84">
        <v>209</v>
      </c>
      <c r="G84" s="3">
        <v>94.75</v>
      </c>
      <c r="H84">
        <v>1</v>
      </c>
    </row>
    <row r="85" spans="1:8" x14ac:dyDescent="0.25">
      <c r="A85" s="8" t="s">
        <v>244</v>
      </c>
      <c r="B85">
        <v>19000</v>
      </c>
      <c r="C85">
        <v>15700</v>
      </c>
      <c r="D85" s="3">
        <v>90.803932909196078</v>
      </c>
      <c r="E85">
        <v>15300</v>
      </c>
      <c r="F85">
        <v>14</v>
      </c>
      <c r="G85" s="3">
        <v>91</v>
      </c>
      <c r="H85">
        <v>1</v>
      </c>
    </row>
    <row r="86" spans="1:8" x14ac:dyDescent="0.25">
      <c r="A86" s="8" t="s">
        <v>37</v>
      </c>
      <c r="B86">
        <v>427000</v>
      </c>
      <c r="C86">
        <v>370850</v>
      </c>
      <c r="D86" s="3">
        <v>91.48906497843862</v>
      </c>
      <c r="E86">
        <v>362850</v>
      </c>
      <c r="F86">
        <v>195</v>
      </c>
      <c r="G86" s="3">
        <v>94.913043478260875</v>
      </c>
      <c r="H86">
        <v>0</v>
      </c>
    </row>
    <row r="87" spans="1:8" x14ac:dyDescent="0.25">
      <c r="A87" s="7" t="s">
        <v>269</v>
      </c>
      <c r="B87">
        <v>421000</v>
      </c>
      <c r="C87">
        <v>365500</v>
      </c>
      <c r="D87" s="3">
        <v>91.509655089983468</v>
      </c>
      <c r="E87">
        <v>357600</v>
      </c>
      <c r="F87">
        <v>193</v>
      </c>
      <c r="G87" s="3">
        <v>94.869565217391298</v>
      </c>
      <c r="H87">
        <v>0</v>
      </c>
    </row>
    <row r="88" spans="1:8" x14ac:dyDescent="0.25">
      <c r="A88" s="8" t="s">
        <v>37</v>
      </c>
      <c r="B88">
        <v>421000</v>
      </c>
      <c r="C88">
        <v>365500</v>
      </c>
      <c r="D88" s="3">
        <v>91.509655089983468</v>
      </c>
      <c r="E88">
        <v>357600</v>
      </c>
      <c r="F88">
        <v>193</v>
      </c>
      <c r="G88" s="3">
        <v>94.869565217391298</v>
      </c>
      <c r="H88">
        <v>0</v>
      </c>
    </row>
    <row r="89" spans="1:8" x14ac:dyDescent="0.25">
      <c r="A89" s="7" t="s">
        <v>246</v>
      </c>
      <c r="B89">
        <v>2186000</v>
      </c>
      <c r="C89">
        <v>1892320</v>
      </c>
      <c r="D89" s="3">
        <v>91.409567746361503</v>
      </c>
      <c r="E89">
        <v>1851220</v>
      </c>
      <c r="F89">
        <v>1072</v>
      </c>
      <c r="G89" s="3">
        <v>94.686440677966104</v>
      </c>
      <c r="H89">
        <v>3</v>
      </c>
    </row>
    <row r="90" spans="1:8" x14ac:dyDescent="0.25">
      <c r="D90" s="3"/>
      <c r="G90" s="3"/>
    </row>
    <row r="91" spans="1:8" x14ac:dyDescent="0.25">
      <c r="A91" s="81" t="s">
        <v>336</v>
      </c>
      <c r="B91" s="81"/>
      <c r="C91" s="81"/>
    </row>
    <row r="92" spans="1:8" x14ac:dyDescent="0.25">
      <c r="A92" s="6" t="s">
        <v>321</v>
      </c>
      <c r="B92" t="s">
        <v>251</v>
      </c>
    </row>
    <row r="94" spans="1:8" x14ac:dyDescent="0.25">
      <c r="A94" s="6" t="s">
        <v>245</v>
      </c>
      <c r="B94" s="31" t="s">
        <v>338</v>
      </c>
      <c r="C94" s="34" t="s">
        <v>335</v>
      </c>
    </row>
    <row r="95" spans="1:8" x14ac:dyDescent="0.25">
      <c r="A95" s="7" t="s">
        <v>40</v>
      </c>
      <c r="B95">
        <v>20</v>
      </c>
      <c r="C95" s="32">
        <f>8/20</f>
        <v>0.4</v>
      </c>
    </row>
    <row r="96" spans="1:8" x14ac:dyDescent="0.25">
      <c r="A96" s="7" t="s">
        <v>85</v>
      </c>
      <c r="B96">
        <v>19</v>
      </c>
      <c r="C96" s="32">
        <f>1/19</f>
        <v>5.2631578947368418E-2</v>
      </c>
    </row>
    <row r="97" spans="1:3" x14ac:dyDescent="0.25">
      <c r="A97" s="7" t="s">
        <v>24</v>
      </c>
      <c r="B97">
        <v>20</v>
      </c>
      <c r="C97" s="32">
        <f>0/21</f>
        <v>0</v>
      </c>
    </row>
    <row r="98" spans="1:3" x14ac:dyDescent="0.25">
      <c r="A98" s="7" t="s">
        <v>50</v>
      </c>
      <c r="B98">
        <v>20</v>
      </c>
      <c r="C98" s="32">
        <f>20/20</f>
        <v>1</v>
      </c>
    </row>
    <row r="99" spans="1:3" x14ac:dyDescent="0.25">
      <c r="A99" s="7" t="s">
        <v>62</v>
      </c>
      <c r="B99">
        <v>19</v>
      </c>
      <c r="C99" s="32">
        <f>1/19</f>
        <v>5.2631578947368418E-2</v>
      </c>
    </row>
    <row r="100" spans="1:3" x14ac:dyDescent="0.25">
      <c r="A100" s="7" t="s">
        <v>73</v>
      </c>
      <c r="B100">
        <v>20</v>
      </c>
      <c r="C100" s="32">
        <f>0/20</f>
        <v>0</v>
      </c>
    </row>
    <row r="101" spans="1:3" x14ac:dyDescent="0.25">
      <c r="A101" s="7" t="s">
        <v>246</v>
      </c>
      <c r="B101">
        <v>118</v>
      </c>
      <c r="C101" s="32"/>
    </row>
    <row r="104" spans="1:3" x14ac:dyDescent="0.25">
      <c r="A104" s="81" t="s">
        <v>337</v>
      </c>
      <c r="B104" s="81"/>
      <c r="C104" s="81"/>
    </row>
    <row r="105" spans="1:3" x14ac:dyDescent="0.25">
      <c r="A105" s="6" t="s">
        <v>20</v>
      </c>
      <c r="B105" t="s">
        <v>251</v>
      </c>
    </row>
    <row r="107" spans="1:3" x14ac:dyDescent="0.25">
      <c r="A107" s="6" t="s">
        <v>245</v>
      </c>
      <c r="B107" s="31" t="s">
        <v>326</v>
      </c>
      <c r="C107" s="34" t="s">
        <v>339</v>
      </c>
    </row>
    <row r="108" spans="1:3" x14ac:dyDescent="0.25">
      <c r="A108" s="7" t="s">
        <v>40</v>
      </c>
      <c r="B108">
        <v>20</v>
      </c>
      <c r="C108" s="3">
        <f>(2/20)*100</f>
        <v>10</v>
      </c>
    </row>
    <row r="109" spans="1:3" x14ac:dyDescent="0.25">
      <c r="A109" s="7" t="s">
        <v>85</v>
      </c>
      <c r="B109">
        <v>19</v>
      </c>
      <c r="C109" s="3">
        <f>(1/19)*100</f>
        <v>5.2631578947368416</v>
      </c>
    </row>
    <row r="110" spans="1:3" x14ac:dyDescent="0.25">
      <c r="A110" s="7" t="s">
        <v>24</v>
      </c>
      <c r="B110">
        <v>20</v>
      </c>
      <c r="C110" s="3">
        <v>0</v>
      </c>
    </row>
    <row r="111" spans="1:3" x14ac:dyDescent="0.25">
      <c r="A111" s="7" t="s">
        <v>50</v>
      </c>
      <c r="B111">
        <v>20</v>
      </c>
      <c r="C111" s="3">
        <v>0</v>
      </c>
    </row>
    <row r="112" spans="1:3" x14ac:dyDescent="0.25">
      <c r="A112" s="7" t="s">
        <v>62</v>
      </c>
      <c r="B112">
        <v>19</v>
      </c>
      <c r="C112" s="3">
        <v>0</v>
      </c>
    </row>
    <row r="113" spans="1:3" x14ac:dyDescent="0.25">
      <c r="A113" s="7" t="s">
        <v>73</v>
      </c>
      <c r="B113">
        <v>20</v>
      </c>
      <c r="C113" s="3">
        <f>0/20</f>
        <v>0</v>
      </c>
    </row>
    <row r="114" spans="1:3" x14ac:dyDescent="0.25">
      <c r="A114" s="7" t="s">
        <v>246</v>
      </c>
      <c r="B114">
        <v>118</v>
      </c>
    </row>
  </sheetData>
  <mergeCells count="6">
    <mergeCell ref="A91:C91"/>
    <mergeCell ref="A104:C104"/>
    <mergeCell ref="A2:F2"/>
    <mergeCell ref="A30:F30"/>
    <mergeCell ref="A58:H58"/>
    <mergeCell ref="A74:H74"/>
  </mergeCells>
  <pageMargins left="0.7" right="0.7" top="0.75" bottom="0.75" header="0.3" footer="0.3"/>
  <pageSetup paperSize="9" orientation="portrait"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BBB20-EA26-4E49-977F-0046B98A0637}">
  <dimension ref="A1:W32"/>
  <sheetViews>
    <sheetView zoomScale="90" zoomScaleNormal="90" workbookViewId="0">
      <selection activeCell="Z36" sqref="Z36"/>
    </sheetView>
  </sheetViews>
  <sheetFormatPr defaultRowHeight="15" x14ac:dyDescent="0.25"/>
  <cols>
    <col min="14" max="14" width="9.140625" customWidth="1"/>
  </cols>
  <sheetData>
    <row r="1" spans="1:23" x14ac:dyDescent="0.25">
      <c r="A1" s="84" t="s">
        <v>274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</row>
    <row r="2" spans="1:23" x14ac:dyDescent="0.2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</row>
    <row r="3" spans="1:23" x14ac:dyDescent="0.25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</row>
    <row r="4" spans="1:23" x14ac:dyDescent="0.25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</row>
    <row r="5" spans="1:23" x14ac:dyDescent="0.25">
      <c r="A5" s="86"/>
      <c r="B5" s="86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</row>
    <row r="6" spans="1:23" x14ac:dyDescent="0.25">
      <c r="A6" s="86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</row>
    <row r="7" spans="1:23" x14ac:dyDescent="0.25">
      <c r="A7" s="86"/>
      <c r="B7" s="86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</row>
    <row r="8" spans="1:23" x14ac:dyDescent="0.25">
      <c r="A8" s="86"/>
      <c r="B8" s="86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</row>
    <row r="9" spans="1:23" x14ac:dyDescent="0.25">
      <c r="A9" s="86"/>
      <c r="B9" s="86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</row>
    <row r="10" spans="1:23" x14ac:dyDescent="0.25">
      <c r="A10" s="86"/>
      <c r="B10" s="86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</row>
    <row r="11" spans="1:23" x14ac:dyDescent="0.25">
      <c r="A11" s="86"/>
      <c r="B11" s="86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</row>
    <row r="12" spans="1:23" x14ac:dyDescent="0.25">
      <c r="A12" s="86"/>
      <c r="B12" s="86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</row>
    <row r="13" spans="1:23" x14ac:dyDescent="0.25">
      <c r="A13" s="86"/>
      <c r="B13" s="86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</row>
    <row r="14" spans="1:23" x14ac:dyDescent="0.25">
      <c r="A14" s="86"/>
      <c r="B14" s="86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</row>
    <row r="15" spans="1:23" x14ac:dyDescent="0.25">
      <c r="A15" s="86"/>
      <c r="B15" s="86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</row>
    <row r="16" spans="1:23" x14ac:dyDescent="0.25">
      <c r="A16" s="86"/>
      <c r="B16" s="86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</row>
    <row r="17" spans="1:23" x14ac:dyDescent="0.25">
      <c r="A17" s="86"/>
      <c r="B17" s="86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</row>
    <row r="18" spans="1:23" x14ac:dyDescent="0.25">
      <c r="A18" s="86"/>
      <c r="B18" s="86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</row>
    <row r="19" spans="1:23" x14ac:dyDescent="0.25">
      <c r="A19" s="86"/>
      <c r="B19" s="86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</row>
    <row r="20" spans="1:23" x14ac:dyDescent="0.25">
      <c r="A20" s="86"/>
      <c r="B20" s="86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</row>
    <row r="21" spans="1:23" x14ac:dyDescent="0.25">
      <c r="A21" s="86"/>
      <c r="B21" s="86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</row>
    <row r="22" spans="1:23" x14ac:dyDescent="0.25">
      <c r="A22" s="86"/>
      <c r="B22" s="86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</row>
    <row r="23" spans="1:23" x14ac:dyDescent="0.25">
      <c r="A23" s="86"/>
      <c r="B23" s="86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</row>
    <row r="24" spans="1:23" x14ac:dyDescent="0.25">
      <c r="A24" s="86"/>
      <c r="B24" s="86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</row>
    <row r="25" spans="1:23" x14ac:dyDescent="0.25">
      <c r="A25" s="86"/>
      <c r="B25" s="86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</row>
    <row r="26" spans="1:23" x14ac:dyDescent="0.25">
      <c r="A26" s="86"/>
      <c r="B26" s="86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</row>
    <row r="27" spans="1:23" x14ac:dyDescent="0.25">
      <c r="A27" s="86"/>
      <c r="B27" s="86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</row>
    <row r="28" spans="1:23" x14ac:dyDescent="0.25">
      <c r="A28" s="86"/>
      <c r="B28" s="86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</row>
    <row r="29" spans="1:23" x14ac:dyDescent="0.25">
      <c r="A29" s="86"/>
      <c r="B29" s="86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</row>
    <row r="30" spans="1:23" x14ac:dyDescent="0.25">
      <c r="A30" s="86"/>
      <c r="B30" s="86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</row>
    <row r="31" spans="1:23" x14ac:dyDescent="0.25">
      <c r="A31" s="86"/>
      <c r="B31" s="86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</row>
    <row r="32" spans="1:23" x14ac:dyDescent="0.25">
      <c r="A32" s="86"/>
      <c r="B32" s="86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</row>
  </sheetData>
  <mergeCells count="6">
    <mergeCell ref="A1:W4"/>
    <mergeCell ref="A5:B11"/>
    <mergeCell ref="A12:B18"/>
    <mergeCell ref="A19:B25"/>
    <mergeCell ref="A26:B32"/>
    <mergeCell ref="C5:W32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70E93-D6E3-4E1D-A599-440D7060B6EF}">
  <dimension ref="B2:P21"/>
  <sheetViews>
    <sheetView workbookViewId="0">
      <selection activeCell="G22" sqref="G22"/>
    </sheetView>
  </sheetViews>
  <sheetFormatPr defaultColWidth="8.7109375" defaultRowHeight="15" x14ac:dyDescent="0.25"/>
  <cols>
    <col min="2" max="2" width="4" customWidth="1"/>
    <col min="3" max="4" width="22" customWidth="1"/>
    <col min="5" max="5" width="14" customWidth="1"/>
    <col min="6" max="6" width="3" customWidth="1"/>
    <col min="7" max="7" width="22" customWidth="1"/>
    <col min="8" max="8" width="9" customWidth="1"/>
    <col min="9" max="9" width="8" customWidth="1"/>
    <col min="10" max="10" width="11" customWidth="1"/>
    <col min="11" max="11" width="10" customWidth="1"/>
    <col min="12" max="12" width="9" customWidth="1"/>
    <col min="13" max="13" width="10" customWidth="1"/>
    <col min="14" max="14" width="12" customWidth="1"/>
    <col min="15" max="15" width="10" customWidth="1"/>
    <col min="16" max="16" width="9" customWidth="1"/>
  </cols>
  <sheetData>
    <row r="2" spans="2:16" ht="47.25" customHeight="1" x14ac:dyDescent="0.25">
      <c r="B2" s="52" t="s">
        <v>350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4"/>
    </row>
    <row r="3" spans="2:16" x14ac:dyDescent="0.25">
      <c r="B3" s="24"/>
      <c r="P3" s="25"/>
    </row>
    <row r="4" spans="2:16" ht="24" customHeight="1" x14ac:dyDescent="0.25">
      <c r="B4" s="61" t="s">
        <v>275</v>
      </c>
      <c r="C4" s="55"/>
      <c r="D4" s="55"/>
      <c r="E4" s="55"/>
      <c r="G4" s="55" t="s">
        <v>276</v>
      </c>
      <c r="H4" s="56"/>
      <c r="I4" s="56"/>
      <c r="J4" s="56"/>
      <c r="K4" s="56"/>
      <c r="L4" s="56"/>
      <c r="M4" s="56"/>
      <c r="N4" s="56"/>
      <c r="O4" s="56"/>
      <c r="P4" s="57"/>
    </row>
    <row r="5" spans="2:16" ht="21.75" customHeight="1" x14ac:dyDescent="0.25">
      <c r="B5" s="62" t="s">
        <v>277</v>
      </c>
      <c r="C5" s="63"/>
      <c r="D5" s="63"/>
      <c r="E5" s="10">
        <v>118</v>
      </c>
      <c r="G5" s="11" t="s">
        <v>278</v>
      </c>
      <c r="H5" s="11" t="s">
        <v>279</v>
      </c>
      <c r="I5" s="11" t="s">
        <v>280</v>
      </c>
      <c r="J5" s="11" t="s">
        <v>281</v>
      </c>
      <c r="K5" s="11" t="s">
        <v>282</v>
      </c>
      <c r="L5" s="11" t="s">
        <v>283</v>
      </c>
      <c r="M5" s="11" t="s">
        <v>284</v>
      </c>
      <c r="N5" s="11" t="s">
        <v>285</v>
      </c>
      <c r="O5" s="11" t="s">
        <v>19</v>
      </c>
      <c r="P5" s="26" t="s">
        <v>296</v>
      </c>
    </row>
    <row r="6" spans="2:16" ht="19.5" customHeight="1" x14ac:dyDescent="0.25">
      <c r="B6" s="64" t="s">
        <v>273</v>
      </c>
      <c r="C6" s="65"/>
      <c r="D6" s="65"/>
      <c r="E6" s="12">
        <v>2208000</v>
      </c>
      <c r="G6" s="13" t="s">
        <v>40</v>
      </c>
      <c r="H6" s="13" t="s">
        <v>25</v>
      </c>
      <c r="I6" s="14">
        <v>20</v>
      </c>
      <c r="J6" s="15">
        <v>370000</v>
      </c>
      <c r="K6" s="15">
        <v>318600</v>
      </c>
      <c r="L6" s="16">
        <v>91.06</v>
      </c>
      <c r="M6" s="17">
        <v>94.55</v>
      </c>
      <c r="N6" s="35">
        <v>310600</v>
      </c>
      <c r="O6" s="14">
        <v>216</v>
      </c>
      <c r="P6" s="27">
        <v>0.61818881778363266</v>
      </c>
    </row>
    <row r="7" spans="2:16" ht="19.5" customHeight="1" x14ac:dyDescent="0.25">
      <c r="B7" s="62" t="s">
        <v>286</v>
      </c>
      <c r="C7" s="63"/>
      <c r="D7" s="63"/>
      <c r="E7" s="10">
        <v>1911520</v>
      </c>
      <c r="G7" s="18" t="s">
        <v>85</v>
      </c>
      <c r="H7" s="18" t="s">
        <v>25</v>
      </c>
      <c r="I7" s="19">
        <v>19</v>
      </c>
      <c r="J7" s="20">
        <v>361000</v>
      </c>
      <c r="K7" s="20">
        <v>311600</v>
      </c>
      <c r="L7" s="16">
        <v>91.56</v>
      </c>
      <c r="M7" s="21">
        <v>94.26</v>
      </c>
      <c r="N7" s="36">
        <v>304000</v>
      </c>
      <c r="O7" s="19">
        <v>172</v>
      </c>
      <c r="P7" s="28">
        <v>0.6673273930595186</v>
      </c>
    </row>
    <row r="8" spans="2:16" ht="19.5" customHeight="1" x14ac:dyDescent="0.25">
      <c r="B8" s="64" t="s">
        <v>287</v>
      </c>
      <c r="C8" s="65"/>
      <c r="D8" s="65"/>
      <c r="E8" s="22">
        <v>91.41</v>
      </c>
      <c r="G8" s="13" t="s">
        <v>24</v>
      </c>
      <c r="H8" s="13" t="s">
        <v>25</v>
      </c>
      <c r="I8" s="14">
        <v>20</v>
      </c>
      <c r="J8" s="15">
        <v>440000</v>
      </c>
      <c r="K8" s="15">
        <v>384200</v>
      </c>
      <c r="L8" s="16">
        <v>91.77</v>
      </c>
      <c r="M8" s="17">
        <v>95.15</v>
      </c>
      <c r="N8" s="35">
        <v>376200</v>
      </c>
      <c r="O8" s="14">
        <v>210</v>
      </c>
      <c r="P8" s="27">
        <v>0.5078682593935715</v>
      </c>
    </row>
    <row r="9" spans="2:16" ht="19.5" customHeight="1" x14ac:dyDescent="0.25">
      <c r="B9" s="62" t="s">
        <v>288</v>
      </c>
      <c r="C9" s="63"/>
      <c r="D9" s="63"/>
      <c r="E9" s="23">
        <v>94.69</v>
      </c>
      <c r="G9" s="18" t="s">
        <v>50</v>
      </c>
      <c r="H9" s="18" t="s">
        <v>51</v>
      </c>
      <c r="I9" s="19">
        <v>20</v>
      </c>
      <c r="J9" s="20">
        <v>300000</v>
      </c>
      <c r="K9" s="20">
        <v>256320</v>
      </c>
      <c r="L9" s="16">
        <v>90.5</v>
      </c>
      <c r="M9" s="21">
        <v>94.4</v>
      </c>
      <c r="N9" s="36">
        <v>252320</v>
      </c>
      <c r="O9" s="19">
        <v>123</v>
      </c>
      <c r="P9" s="28">
        <v>0.23159493494228983</v>
      </c>
    </row>
    <row r="10" spans="2:16" ht="19.5" customHeight="1" x14ac:dyDescent="0.25">
      <c r="B10" s="64" t="s">
        <v>289</v>
      </c>
      <c r="C10" s="65"/>
      <c r="D10" s="65"/>
      <c r="E10" s="12">
        <f>SUMPRODUCT(('[1]Cleaned Data'!A2:A10000&lt;&gt;"")*('[1]Cleaned Data'!O2:O10000))</f>
        <v>1872810</v>
      </c>
      <c r="G10" s="13" t="s">
        <v>62</v>
      </c>
      <c r="H10" s="13" t="s">
        <v>25</v>
      </c>
      <c r="I10" s="14">
        <v>19</v>
      </c>
      <c r="J10" s="15">
        <v>475500</v>
      </c>
      <c r="K10" s="15">
        <v>411600</v>
      </c>
      <c r="L10" s="16">
        <v>91.72</v>
      </c>
      <c r="M10" s="17">
        <v>94.47</v>
      </c>
      <c r="N10" s="35">
        <v>402100</v>
      </c>
      <c r="O10" s="14">
        <v>265</v>
      </c>
      <c r="P10" s="27">
        <v>0.58776793349230461</v>
      </c>
    </row>
    <row r="11" spans="2:16" ht="19.5" customHeight="1" x14ac:dyDescent="0.25">
      <c r="B11" s="62" t="s">
        <v>271</v>
      </c>
      <c r="C11" s="63"/>
      <c r="D11" s="63"/>
      <c r="E11" s="10">
        <f>SUMPRODUCT(('[1]Cleaned Data'!A2:A10000&lt;&gt;"")*('[1]Cleaned Data'!V2:V10000))</f>
        <v>1083</v>
      </c>
      <c r="G11" s="18" t="s">
        <v>73</v>
      </c>
      <c r="H11" s="18" t="s">
        <v>74</v>
      </c>
      <c r="I11" s="19">
        <v>20</v>
      </c>
      <c r="J11" s="20">
        <v>240000</v>
      </c>
      <c r="K11" s="20">
        <v>210000</v>
      </c>
      <c r="L11" s="16">
        <v>91.86</v>
      </c>
      <c r="M11" s="21">
        <v>95.25</v>
      </c>
      <c r="N11" s="36">
        <v>206000</v>
      </c>
      <c r="O11" s="19">
        <v>86</v>
      </c>
      <c r="P11" s="28">
        <v>0.40085291960386338</v>
      </c>
    </row>
    <row r="12" spans="2:16" ht="21.75" customHeight="1" x14ac:dyDescent="0.25">
      <c r="B12" s="64" t="s">
        <v>290</v>
      </c>
      <c r="C12" s="65"/>
      <c r="D12" s="65"/>
      <c r="E12" s="12">
        <v>3</v>
      </c>
      <c r="P12" s="25"/>
    </row>
    <row r="13" spans="2:16" ht="24" customHeight="1" x14ac:dyDescent="0.25">
      <c r="B13" s="58" t="s">
        <v>291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60"/>
    </row>
    <row r="14" spans="2:16" ht="27.75" customHeight="1" x14ac:dyDescent="0.25">
      <c r="B14" s="46" t="s">
        <v>348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8"/>
    </row>
    <row r="15" spans="2:16" ht="27.75" customHeight="1" x14ac:dyDescent="0.25">
      <c r="B15" s="43" t="s">
        <v>349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5"/>
    </row>
    <row r="16" spans="2:16" ht="27.75" customHeight="1" x14ac:dyDescent="0.25">
      <c r="B16" s="46" t="s">
        <v>293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</row>
    <row r="17" spans="2:16" ht="27.75" customHeight="1" x14ac:dyDescent="0.25">
      <c r="B17" s="43" t="s">
        <v>294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5"/>
    </row>
    <row r="18" spans="2:16" ht="27.75" customHeight="1" x14ac:dyDescent="0.25">
      <c r="B18" s="46" t="s">
        <v>347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8"/>
    </row>
    <row r="19" spans="2:16" ht="27.75" customHeight="1" x14ac:dyDescent="0.25">
      <c r="B19" s="49" t="s">
        <v>295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1"/>
    </row>
    <row r="20" spans="2:16" ht="27.75" customHeight="1" x14ac:dyDescent="0.25">
      <c r="B20" s="46" t="s">
        <v>351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8"/>
    </row>
    <row r="21" spans="2:16" ht="27.75" customHeight="1" x14ac:dyDescent="0.25">
      <c r="B21" s="49" t="s">
        <v>352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1"/>
    </row>
  </sheetData>
  <mergeCells count="20">
    <mergeCell ref="B2:P2"/>
    <mergeCell ref="G4:P4"/>
    <mergeCell ref="B13:P13"/>
    <mergeCell ref="B4:E4"/>
    <mergeCell ref="B5:D5"/>
    <mergeCell ref="B6:D6"/>
    <mergeCell ref="B7:D7"/>
    <mergeCell ref="B8:D8"/>
    <mergeCell ref="B9:D9"/>
    <mergeCell ref="B10:D10"/>
    <mergeCell ref="B11:D11"/>
    <mergeCell ref="B12:D12"/>
    <mergeCell ref="B17:P17"/>
    <mergeCell ref="B20:P20"/>
    <mergeCell ref="B21:P21"/>
    <mergeCell ref="B14:P14"/>
    <mergeCell ref="B15:P15"/>
    <mergeCell ref="B16:P16"/>
    <mergeCell ref="B18:P18"/>
    <mergeCell ref="B19:P1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7D1FEB-B028-49CD-B2F6-6737CA3688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Limpopo_poultryhatchery_messy</vt:lpstr>
      <vt:lpstr>Data_Quality_Report</vt:lpstr>
      <vt:lpstr>Limpopo_poultryhatchery_clean</vt:lpstr>
      <vt:lpstr>Data Dictionary</vt:lpstr>
      <vt:lpstr>Pivot Tables</vt:lpstr>
      <vt:lpstr>Dashboard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Portia Malatji</dc:creator>
  <cp:lastModifiedBy>Portia Malatji</cp:lastModifiedBy>
  <cp:lastPrinted>2026-08-13T09:47:43Z</cp:lastPrinted>
  <dcterms:created xsi:type="dcterms:W3CDTF">2026-06-09T07:44:07Z</dcterms:created>
  <dcterms:modified xsi:type="dcterms:W3CDTF">2026-08-13T10:26:28Z</dcterms:modified>
</cp:coreProperties>
</file>